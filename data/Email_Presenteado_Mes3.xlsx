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8 versões" sheetId="1" state="visible" r:id="rId3"/>
    <sheet name="Revisão de tom e promessas" sheetId="2" state="visible" r:id="rId4"/>
    <sheet name="Cartões de hipótese" sheetId="3" state="visible" r:id="rId5"/>
    <sheet name="Tamanho da amostra" sheetId="4" state="visible" r:id="rId6"/>
    <sheet name="O que as personas NÃO preveem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<sst xmlns="http://schemas.openxmlformats.org/spreadsheetml/2006/main" count="313" uniqueCount="237">
  <si>
    <t xml:space="preserve">E-mail do 3º mês para quem ganhou a assinatura Claro tv+ de presente: 6 ângulos x 3 versões</t>
  </si>
  <si>
    <t xml:space="preserve">Notas 1-5 (5 = clicaria/continuaria) por 3 personas SINTÉTICAS. Chaves {} são variáveis de personalização. Finalistas destacadas em verde.</t>
  </si>
  <si>
    <t xml:space="preserve">#</t>
  </si>
  <si>
    <t xml:space="preserve">Ângulo</t>
  </si>
  <si>
    <t xml:space="preserve">Assunto</t>
  </si>
  <si>
    <t xml:space="preserve">Primeira frase</t>
  </si>
  <si>
    <t xml:space="preserve">(a) Devoto do ritual, 42: nota</t>
  </si>
  <si>
    <t xml:space="preserve">(a) Crítica em 1 linha</t>
  </si>
  <si>
    <t xml:space="preserve">(b) Presenteado curioso, 63: nota</t>
  </si>
  <si>
    <t xml:space="preserve">(b) Crítica em 1 linha</t>
  </si>
  <si>
    <t xml:space="preserve">(c) Caçador de cupom, 24: nota</t>
  </si>
  <si>
    <t xml:space="preserve">(c) Crítica em 1 linha</t>
  </si>
  <si>
    <t xml:space="preserve">Média das notas</t>
  </si>
  <si>
    <t xml:space="preserve">Posição</t>
  </si>
  <si>
    <t xml:space="preserve">D1</t>
  </si>
  <si>
    <t xml:space="preserve">Dor</t>
  </si>
  <si>
    <t xml:space="preserve">Seu presente termina em breve. E agora?</t>
  </si>
  <si>
    <t xml:space="preserve">Nestes 3 meses você teve filmes, séries e canais sem pagar nada, e esse período de presente está chegando ao fim.</t>
  </si>
  <si>
    <t xml:space="preserve">Reconhece meu hábito, mas "e agora?" soa como ameaça.</t>
  </si>
  <si>
    <t xml:space="preserve">Diz que acaba, só não explica o que eu faço.</t>
  </si>
  <si>
    <t xml:space="preserve">Não fala de desconto, então não me move.</t>
  </si>
  <si>
    <t xml:space="preserve">D2</t>
  </si>
  <si>
    <t xml:space="preserve">Sua lista de filmes vai ficar sem tela</t>
  </si>
  <si>
    <t xml:space="preserve">Os títulos que você começou a ver ficam sem ninguém para continuar quando o presente acabar.</t>
  </si>
  <si>
    <t xml:space="preserve">Fala de continuar o que comecei, gosto.</t>
  </si>
  <si>
    <t xml:space="preserve">"Ficar sem tela" eu não entendi direito.</t>
  </si>
  <si>
    <t xml:space="preserve">Nada de preço ou cupom, ignoro.</t>
  </si>
  <si>
    <t xml:space="preserve">D3</t>
  </si>
  <si>
    <t xml:space="preserve">Sábado sem a sua série?</t>
  </si>
  <si>
    <t xml:space="preserve">Quando o presente acabar, o sofá fica sem a série que você acompanha toda semana.</t>
  </si>
  <si>
    <t xml:space="preserve">Sábado, sofá e série: é o meu ritual.</t>
  </si>
  <si>
    <t xml:space="preserve">Simpático, mas não sei como continuar.</t>
  </si>
  <si>
    <t xml:space="preserve">Sem desconto não me convence.</t>
  </si>
  <si>
    <t xml:space="preserve">G1</t>
  </si>
  <si>
    <t xml:space="preserve">Ganho</t>
  </si>
  <si>
    <t xml:space="preserve">Sua própria assinatura, do seu jeito</t>
  </si>
  <si>
    <t xml:space="preserve">Continue com os canais e filmes que você já usa, agora num plano escolhido por você.</t>
  </si>
  <si>
    <t xml:space="preserve">Gosto de escolher o que assistir no meu horário.</t>
  </si>
  <si>
    <t xml:space="preserve">Simples, sem pressão, entendi.</t>
  </si>
  <si>
    <t xml:space="preserve">Bonito, mas cadê o preço?</t>
  </si>
  <si>
    <t xml:space="preserve">G2</t>
  </si>
  <si>
    <t xml:space="preserve">Primeiro mês próprio com 40% de desconto</t>
  </si>
  <si>
    <t xml:space="preserve">Para você continuar de onde parou, o seu primeiro mês na assinatura própria sai com 40% de desconto.</t>
  </si>
  <si>
    <t xml:space="preserve">Preço claro e meu ritual continua.</t>
  </si>
  <si>
    <t xml:space="preserve">40% de quê? Preciso saber o valor final e quando cobra.</t>
  </si>
  <si>
    <t xml:space="preserve">Desconto direto no assunto: eu abro e assino.</t>
  </si>
  <si>
    <t xml:space="preserve">G3</t>
  </si>
  <si>
    <t xml:space="preserve">Mais filmes e séries por menos do que você imagina</t>
  </si>
  <si>
    <t xml:space="preserve">Há planos a partir de R$ 37,90 por mês para você manter o que mais gosta.</t>
  </si>
  <si>
    <t xml:space="preserve">Gostei do preço, mas "a partir de" me cansa.</t>
  </si>
  <si>
    <t xml:space="preserve">Preço baixo tranquiliza, só que parece letra miúda.</t>
  </si>
  <si>
    <t xml:space="preserve">Preço baixo me interessa, falta cupom.</t>
  </si>
  <si>
    <t xml:space="preserve">P1</t>
  </si>
  <si>
    <t xml:space="preserve">Prova</t>
  </si>
  <si>
    <t xml:space="preserve">Quem recebeu de presente e ficou</t>
  </si>
  <si>
    <t xml:space="preserve">Muita gente que ganhou a assinatura de presente decidiu continuar por conta própria.</t>
  </si>
  <si>
    <t xml:space="preserve">Não sou "muita gente", prefiro algo sobre mim.</t>
  </si>
  <si>
    <t xml:space="preserve">Se tanta gente ficou, deve ser seguro.</t>
  </si>
  <si>
    <t xml:space="preserve">Prova social sem preço não me move.</t>
  </si>
  <si>
    <t xml:space="preserve">P2</t>
  </si>
  <si>
    <t xml:space="preserve">Você assistiu {horas} horas em 3 meses</t>
  </si>
  <si>
    <t xml:space="preserve">Em 3 meses você assistiu {horas} horas e {titulos} títulos com o seu presente; é um bom sinal do que combina com você.</t>
  </si>
  <si>
    <t xml:space="preserve">Ver meus números confirma meu hábito.</t>
  </si>
  <si>
    <t xml:space="preserve">Mostra o que eu fiz, é concreto e pessoal.</t>
  </si>
  <si>
    <t xml:space="preserve">Legal, mas sem preço eu passo.</t>
  </si>
  <si>
    <t xml:space="preserve">P3</t>
  </si>
  <si>
    <t xml:space="preserve">Você já começou {título}. Que tal terminar?</t>
  </si>
  <si>
    <t xml:space="preserve">Você já viu {título} e começou {título 2}; continue de onde parou com a sua assinatura.</t>
  </si>
  <si>
    <t xml:space="preserve">Falar do que eu comecei me prende.</t>
  </si>
  <si>
    <t xml:space="preserve">Reconhece o que assisti, parece cuidado.</t>
  </si>
  <si>
    <t xml:space="preserve">Falta o desconto para eu decidir.</t>
  </si>
  <si>
    <t xml:space="preserve">I1</t>
  </si>
  <si>
    <t xml:space="preserve">Identidade</t>
  </si>
  <si>
    <t xml:space="preserve">Seu jeito de ver TV merece uma assinatura sua</t>
  </si>
  <si>
    <t xml:space="preserve">Você já descobriu o que gosta de assistir; agora é só escolher o plano que combina com você.</t>
  </si>
  <si>
    <t xml:space="preserve">Combina com quem tem rotina definida.</t>
  </si>
  <si>
    <t xml:space="preserve">Agradável, mas genérico.</t>
  </si>
  <si>
    <t xml:space="preserve">Palavras bonitas, sem desconto.</t>
  </si>
  <si>
    <t xml:space="preserve">I2</t>
  </si>
  <si>
    <t xml:space="preserve">Você virou fã de cinema em casa</t>
  </si>
  <si>
    <t xml:space="preserve">Seus últimos 3 meses mostram quem você é: alguém que não perde uma boa estreia.</t>
  </si>
  <si>
    <t xml:space="preserve">Exagerado, mas lisonjeia.</t>
  </si>
  <si>
    <t xml:space="preserve">Não me reconheço assim, achei estranho.</t>
  </si>
  <si>
    <t xml:space="preserve">Não vejo vantagem.</t>
  </si>
  <si>
    <t xml:space="preserve">I3</t>
  </si>
  <si>
    <t xml:space="preserve">Café na mão, sua tela favorita ligada</t>
  </si>
  <si>
    <t xml:space="preserve">Faça do seu momento com a TV um hábito seu, com a sua própria assinatura.</t>
  </si>
  <si>
    <t xml:space="preserve">Fala do café e do ritual: sou eu.</t>
  </si>
  <si>
    <t xml:space="preserve">Gostoso de ler, mas não sei o que fazer.</t>
  </si>
  <si>
    <t xml:space="preserve">Nada de preço.</t>
  </si>
  <si>
    <t xml:space="preserve">U1</t>
  </si>
  <si>
    <t xml:space="preserve">Urgência</t>
  </si>
  <si>
    <t xml:space="preserve">Seu presente acaba em {dias} dias</t>
  </si>
  <si>
    <t xml:space="preserve">Faltam {dias} dias para o fim do seu presente; continue sem interromper seus programas.</t>
  </si>
  <si>
    <t xml:space="preserve">Aviso útil, desde que a data seja certa.</t>
  </si>
  <si>
    <t xml:space="preserve">Contagem regressiva me assusta, nunca assinei nada.</t>
  </si>
  <si>
    <t xml:space="preserve">Se vier desconto junto, eu clico.</t>
  </si>
  <si>
    <t xml:space="preserve">U2</t>
  </si>
  <si>
    <t xml:space="preserve">Último aviso: 40% off só até {data}</t>
  </si>
  <si>
    <t xml:space="preserve">Garanta o primeiro mês com 40% de desconto até {data}, antes de o presente acabar.</t>
  </si>
  <si>
    <t xml:space="preserve">"Último aviso" soa agressivo.</t>
  </si>
  <si>
    <t xml:space="preserve">Me apressa e eu não gosto de decidir correndo.</t>
  </si>
  <si>
    <t xml:space="preserve">Prazo e desconto: é o que me faz agir.</t>
  </si>
  <si>
    <t xml:space="preserve">U3</t>
  </si>
  <si>
    <t xml:space="preserve">Amanhã pode ser tarde para manter seu acesso</t>
  </si>
  <si>
    <t xml:space="preserve">Seu acesso de presente termina amanhã e depois disso você precisa de uma assinatura própria para continuar.</t>
  </si>
  <si>
    <t xml:space="preserve">Pressão em cima da hora, não gosto.</t>
  </si>
  <si>
    <t xml:space="preserve">Parece golpe, fico com medo.</t>
  </si>
  <si>
    <t xml:space="preserve">Se tiver desconto, eu corro.</t>
  </si>
  <si>
    <t xml:space="preserve">C1</t>
  </si>
  <si>
    <t xml:space="preserve">Curiosidade</t>
  </si>
  <si>
    <t xml:space="preserve">O que você ainda não viu no seu presente</t>
  </si>
  <si>
    <t xml:space="preserve">Existem {n} títulos no seu plano que você ainda não abriu, e alguns são estreias.</t>
  </si>
  <si>
    <t xml:space="preserve">Me deixa curioso, quero ver.</t>
  </si>
  <si>
    <t xml:space="preserve">Interessante, mas não vejo o próximo passo.</t>
  </si>
  <si>
    <t xml:space="preserve">Sem preço eu não saio da tela.</t>
  </si>
  <si>
    <t xml:space="preserve">C2</t>
  </si>
  <si>
    <t xml:space="preserve">Um filme que você vai querer ver</t>
  </si>
  <si>
    <t xml:space="preserve">Escolhemos um título para você com base no que você já assistiu.</t>
  </si>
  <si>
    <t xml:space="preserve">Recomendação que combina com meu gosto.</t>
  </si>
  <si>
    <t xml:space="preserve">Parece atenção, não propaganda.</t>
  </si>
  <si>
    <t xml:space="preserve">Legal, mas não decide minha compra.</t>
  </si>
  <si>
    <t xml:space="preserve">C3</t>
  </si>
  <si>
    <t xml:space="preserve">Tem uma surpresa esperando na sua conta</t>
  </si>
  <si>
    <t xml:space="preserve">Preparamos um convite especial para quem recebeu a assinatura de presente.</t>
  </si>
  <si>
    <t xml:space="preserve">Surpresa vazia me cansa.</t>
  </si>
  <si>
    <t xml:space="preserve">"Surpresa" parece golpe.</t>
  </si>
  <si>
    <t xml:space="preserve">Se for desconto, abro.</t>
  </si>
  <si>
    <t xml:space="preserve">Observação: as notas medem a reação provável de cada persona ao texto isolado, não a conversão real. A revisão de tom e promessas está na aba seguinte.</t>
  </si>
  <si>
    <t xml:space="preserve">Revisão contra o tom de voz e promessas que a empresa talvez não cumpra</t>
  </si>
  <si>
    <t xml:space="preserve">Tom de voz ASSUMIDO (não recebi o guia de marca da Claro): próximo, simples, direto, respeitoso, sem alarme nem exagero.</t>
  </si>
  <si>
    <t xml:space="preserve">Tom de voz</t>
  </si>
  <si>
    <t xml:space="preserve">Promessa em risco</t>
  </si>
  <si>
    <t xml:space="preserve">Gravidade</t>
  </si>
  <si>
    <t xml:space="preserve">Correção sugerida</t>
  </si>
  <si>
    <t xml:space="preserve">Ajustar: tirar o tom de ameaça</t>
  </si>
  <si>
    <t xml:space="preserve">Data real do fim do presente precisa estar correta.</t>
  </si>
  <si>
    <t xml:space="preserve">Baixa</t>
  </si>
  <si>
    <t xml:space="preserve">Usar a data exata do fim do presente.</t>
  </si>
  <si>
    <t xml:space="preserve">Ajustar: metáfora confusa</t>
  </si>
  <si>
    <t xml:space="preserve">Não promete nada, mas sugere perda de lista/histórico; confirmar o que realmente se perde.</t>
  </si>
  <si>
    <t xml:space="preserve">Média</t>
  </si>
  <si>
    <t xml:space="preserve">Dizer só o que de fato muda após o término.</t>
  </si>
  <si>
    <t xml:space="preserve">Dentro do tom (leve)</t>
  </si>
  <si>
    <t xml:space="preserve">Supõe que a pessoa acompanha uma série; só usar com dado de consumo.</t>
  </si>
  <si>
    <t xml:space="preserve">Personalizar com título real ou generalizar.</t>
  </si>
  <si>
    <t xml:space="preserve">Dentro do tom</t>
  </si>
  <si>
    <t xml:space="preserve">"Os canais e filmes que você já usa" depende do plano escolhido; catálogo varia por plano.</t>
  </si>
  <si>
    <t xml:space="preserve">Dizer "escolha o plano com os canais que você mais usa".</t>
  </si>
  <si>
    <t xml:space="preserve">Dentro do tom (se o valor final aparecer em R$)</t>
  </si>
  <si>
    <t xml:space="preserve">Oferta de 40% precisa existir, ter regra de elegibilidade e prazo; hoje é hipótese.</t>
  </si>
  <si>
    <t xml:space="preserve">Alta</t>
  </si>
  <si>
    <t xml:space="preserve">Só enviar com oferta aprovada; mostrar valor final em R$ e data da primeira cobrança.</t>
  </si>
  <si>
    <t xml:space="preserve">Ajustar: comparação vaga</t>
  </si>
  <si>
    <t xml:space="preserve">"Por menos do que você imagina" é comparação sem base; R$ 37,90 deve ser o preço vigente do plano exibido.</t>
  </si>
  <si>
    <t xml:space="preserve">Tirar a comparação e usar o preço vigente confirmado.</t>
  </si>
  <si>
    <t xml:space="preserve">Ajustar: afirmação sem número</t>
  </si>
  <si>
    <t xml:space="preserve">Prova social sem dado real pode ser considerada propaganda enganosa.</t>
  </si>
  <si>
    <t xml:space="preserve">Usar percentual real e auditável ou remover.</t>
  </si>
  <si>
    <t xml:space="preserve">Depende de dados corretos por cliente; mostrar uso exige base legal e cuidado com privacidade (LGPD).</t>
  </si>
  <si>
    <t xml:space="preserve">Validar dado, só uso do próprio cliente, link para preferências de privacidade.</t>
  </si>
  <si>
    <t xml:space="preserve">Mesmo cuidado de dados do P2; título precisa existir no plano escolhido.</t>
  </si>
  <si>
    <t xml:space="preserve">Só sugerir títulos disponíveis no plano oferecido.</t>
  </si>
  <si>
    <t xml:space="preserve">Sem promessa específica.</t>
  </si>
  <si>
    <t xml:space="preserve">Nenhuma.</t>
  </si>
  <si>
    <t xml:space="preserve">Ajustar: rótulo presumido</t>
  </si>
  <si>
    <t xml:space="preserve">Rotular a pessoa sem dado pode soar invasivo ou errado.</t>
  </si>
  <si>
    <t xml:space="preserve">Usar só se o consumo confirmar.</t>
  </si>
  <si>
    <t xml:space="preserve">Sem promessa; referência a café só se estiver alinhada à campanha.</t>
  </si>
  <si>
    <t xml:space="preserve">Ajustar: reduzir pressão</t>
  </si>
  <si>
    <t xml:space="preserve">"Sem interromper" só vale se não houver lacuna entre presente e assinatura.</t>
  </si>
  <si>
    <t xml:space="preserve">Confirmar continuidade do acesso ou retirar a frase.</t>
  </si>
  <si>
    <t xml:space="preserve">Fora do tom (pressão alta)</t>
  </si>
  <si>
    <t xml:space="preserve">Prazo precisa ser real e respeitado; prorrogar depois é urgência falsa. Oferta hoje é hipótese.</t>
  </si>
  <si>
    <t xml:space="preserve">Prazo real, sem "último aviso", oferta aprovada.</t>
  </si>
  <si>
    <t xml:space="preserve">Fora do tom (alarmista)</t>
  </si>
  <si>
    <t xml:space="preserve">Urgência falsa se a data não for exata; risco reputacional e de reclamação.</t>
  </si>
  <si>
    <t xml:space="preserve">Descartar ou reescrever sem alarme.</t>
  </si>
  <si>
    <t xml:space="preserve">Depende de dado de catálogo e consumo; "estreias" precisa ser verdadeiro.</t>
  </si>
  <si>
    <t xml:space="preserve">Validar contagem.</t>
  </si>
  <si>
    <t xml:space="preserve">Promete personalização; só se houver recomendação real.</t>
  </si>
  <si>
    <t xml:space="preserve">Garantir que haja motor de recomendação.</t>
  </si>
  <si>
    <t xml:space="preserve">Fora do tom (clickbait)</t>
  </si>
  <si>
    <t xml:space="preserve">"Surpresa/convite especial" é promessa vaga; quebra confiança se for só um e-mail comum.</t>
  </si>
  <si>
    <t xml:space="preserve">Dizer o que é (oferta ou benefício) ou descartar.</t>
  </si>
  <si>
    <t xml:space="preserve">Os 2 finalistas: cartão de hipótese</t>
  </si>
  <si>
    <t xml:space="preserve">Critério: maior média (G2 = 4,00; P2 = 3,67) e mecanismos diferentes (oferta vs prova pessoal), para o teste aprender algo.</t>
  </si>
  <si>
    <t xml:space="preserve">Finalista 1 - G2 "Primeiro mês próprio com 40% de desconto"</t>
  </si>
  <si>
    <t xml:space="preserve">SE</t>
  </si>
  <si>
    <t xml:space="preserve">SE o e-mail do 3º mês abrir com "Primeiro mês próprio com 40% de desconto" e mostrar o valor final em R$ e a data da primeira cobrança,</t>
  </si>
  <si>
    <t xml:space="preserve">ENTÃO</t>
  </si>
  <si>
    <t xml:space="preserve">ENTÃO a conversão do presenteado em assinatura própria em 14 dias sobe de 10% (controle) para 12% ou mais (+2 p.p.),</t>
  </si>
  <si>
    <t xml:space="preserve">PORQUE</t>
  </si>
  <si>
    <t xml:space="preserve">PORQUE o desconto explícito reduz a barreira de pagar pela primeira vez, atende quem compara preço e, com o valor final claro, também tranquiliza quem nunca assinou,</t>
  </si>
  <si>
    <t xml:space="preserve">MEDIMOS</t>
  </si>
  <si>
    <t xml:space="preserve">MEDIMOS a conversão em 14 dias (primária). Guardrails: churn no 2º ciclo (efeito cliff da promo), margem por cliente após desconto, reclamações e descadastros. Corte por origem (fatura x cartão).</t>
  </si>
  <si>
    <t xml:space="preserve">Finalista 2 - P2 "Você assistiu {horas} horas em 3 meses"</t>
  </si>
  <si>
    <t xml:space="preserve">SE a primeira frase mostrar o uso real do próprio presenteado (horas e títulos assistidos nos 3 meses),</t>
  </si>
  <si>
    <t xml:space="preserve">ENTÃO a conversão em assinatura própria em 14 dias sobe de 10% para 12% ou mais (+2 p.p.), sem depender de desconto,</t>
  </si>
  <si>
    <t xml:space="preserve">PORQUE evidência pessoal torna o valor concreto e ativa o hábito já formado (quem usou mais deve converter mais), e é uma abordagem mais barata que desconto,</t>
  </si>
  <si>
    <t xml:space="preserve">MEDIMOS a conversão em 14 dias (primária) e o efeito por faixa de uso (hipótese secundária). Guardrails: reclamações de privacidade, descadastros, churn no 2º ciclo.</t>
  </si>
  <si>
    <t xml:space="preserve">Desenho do teste: 3 braços (controle com e-mail genérico de convite, G2 e P2), randomização por cliente, estratificada por origem, excluindo quem já tem assinatura própria.</t>
  </si>
  <si>
    <t xml:space="preserve">Tamanho de amostra para testar os finalistas (conversão de base = 10%)</t>
  </si>
  <si>
    <t xml:space="preserve">Teste bilateral de duas proporções. Azul = premissa editável.</t>
  </si>
  <si>
    <t xml:space="preserve">Conversão de base (controle)</t>
  </si>
  <si>
    <t xml:space="preserve">Nível de significância (alfa)</t>
  </si>
  <si>
    <t xml:space="preserve">Poder estatístico</t>
  </si>
  <si>
    <t xml:space="preserve">Comparações com controle (finalistas)</t>
  </si>
  <si>
    <t xml:space="preserve">Presenteados que chegam ao 3º mês por mês (base sintética, safras completas)</t>
  </si>
  <si>
    <t xml:space="preserve">Aumento absoluto a detectar (p.p.)</t>
  </si>
  <si>
    <t xml:space="preserve">Conversão do finalista</t>
  </si>
  <si>
    <t xml:space="preserve">n por braço (1 finalista vs controle)</t>
  </si>
  <si>
    <t xml:space="preserve">n por braço (Bonferroni, 2 finalistas)</t>
  </si>
  <si>
    <t xml:space="preserve">Total nos 3 braços</t>
  </si>
  <si>
    <t xml:space="preserve">Meses de base necessários</t>
  </si>
  <si>
    <t xml:space="preserve">Viável em 3 meses?</t>
  </si>
  <si>
    <t xml:space="preserve">Comparar os dois finalistas entre si (A vs B) exige mais amostra: uma diferença de 1 p.p. (12% vs 13%) pede cerca de 17 mil por braço; use o controle como referência principal.</t>
  </si>
  <si>
    <t xml:space="preserve">Leitura: detectar +2 p.p. (10% para 12%) exige ~3.800 por braço (1 finalista) ou ~4.700 (2 finalistas com correção de Bonferroni): ~14 mil no total, cerca de 5 meses de base. +3 p.p. cabe em ~2,3 meses; +1 p.p. exige mais de 1,5 ano.</t>
  </si>
  <si>
    <t xml:space="preserve">Limites das personas sintéticas</t>
  </si>
  <si>
    <t xml:space="preserve">Limite</t>
  </si>
  <si>
    <t xml:space="preserve">Por que importa</t>
  </si>
  <si>
    <t xml:space="preserve">Comportamento real de abertura e clique</t>
  </si>
  <si>
    <t xml:space="preserve">As notas são julgamentos de texto por um modelo, não medem taxa de abertura, spam ou rendimento por horário.</t>
  </si>
  <si>
    <t xml:space="preserve">Quem presenteou</t>
  </si>
  <si>
    <t xml:space="preserve">O presenteado pode agir conforme a relação com quem deu o presente (ex.: o filho do 63 anos), algo que as personas não capturam.</t>
  </si>
  <si>
    <t xml:space="preserve">Diversidade real</t>
  </si>
  <si>
    <t xml:space="preserve">Três personas não representam a variação por região, renda, aparelho ou escolaridade; todas as críticas vêm do mesmo modelo e tendem a concordar entre si.</t>
  </si>
  <si>
    <t xml:space="preserve">Elasticidade a preço e desconto</t>
  </si>
  <si>
    <t xml:space="preserve">Não estimam quanto cada desconto realmente converte nem o efeito no churn do 2º ciclo (cliff da promo).</t>
  </si>
  <si>
    <t xml:space="preserve">Fadiga e frequência</t>
  </si>
  <si>
    <t xml:space="preserve">Não preveem cansaço com e-mails nem o efeito de múltiplos lembretes.</t>
  </si>
  <si>
    <t xml:space="preserve">Percepção de privacidade</t>
  </si>
  <si>
    <t xml:space="preserve">Mostrar horas e títulos assistidos pode agradar ou incomodar; só o teste real mostra.</t>
  </si>
  <si>
    <t xml:space="preserve">Efeito causal</t>
  </si>
  <si>
    <t xml:space="preserve">Notas são ordinais (1-5), úteis para triagem, não para estimar lift; viés comum de LLM de preferir textos polidos e longos.</t>
  </si>
  <si>
    <t xml:space="preserve">Dados do negócio</t>
  </si>
  <si>
    <t xml:space="preserve">Presente, oferta de 40% e tom de voz são premissas minhas; confirmar com o time.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</si>
</sst>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0.0%"/>
    <numFmt numFmtId="168" formatCode="0%"/>
    <numFmt numFmtId="169" formatCode="#,##0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34"/>
    <col collapsed="false" customWidth="true" hidden="false" outlineLevel="0" max="4" min="4" style="1" width="50"/>
    <col collapsed="false" customWidth="true" hidden="false" outlineLevel="0" max="5" min="5" style="1" width="11"/>
    <col collapsed="false" customWidth="true" hidden="false" outlineLevel="0" max="6" min="6" style="1" width="36"/>
    <col collapsed="false" customWidth="true" hidden="false" outlineLevel="0" max="7" min="7" style="1" width="11"/>
    <col collapsed="false" customWidth="true" hidden="false" outlineLevel="0" max="8" min="8" style="1" width="36"/>
    <col collapsed="false" customWidth="true" hidden="false" outlineLevel="0" max="9" min="9" style="1" width="11"/>
    <col collapsed="false" customWidth="true" hidden="false" outlineLevel="0" max="10" min="10" style="1" width="36"/>
    <col collapsed="false" customWidth="true" hidden="false" outlineLevel="0" max="11" min="11" style="1" width="10"/>
    <col collapsed="false" customWidth="true" hidden="false" outlineLevel="0" max="12" min="12" style="1" width="9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2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61.5" hidden="false" customHeight="true" outlineLevel="0" collapsed="false">
      <c r="A5" s="5" t="s">
        <v>14</v>
      </c>
      <c r="B5" s="6" t="s">
        <v>15</v>
      </c>
      <c r="C5" s="5" t="s">
        <v>16</v>
      </c>
      <c r="D5" s="6" t="s">
        <v>17</v>
      </c>
      <c r="E5" s="7" t="n">
        <v>3</v>
      </c>
      <c r="F5" s="6" t="s">
        <v>18</v>
      </c>
      <c r="G5" s="7" t="n">
        <v>3</v>
      </c>
      <c r="H5" s="6" t="s">
        <v>19</v>
      </c>
      <c r="I5" s="7" t="n">
        <v>2</v>
      </c>
      <c r="J5" s="6" t="s">
        <v>20</v>
      </c>
      <c r="K5" s="8" t="n">
        <f aca="false">AVERAGE(E5,G5,I5)</f>
        <v>2.66666666666667</v>
      </c>
      <c r="L5" s="7" t="n">
        <f aca="false">RANK(K5,$K$5:$K$22)</f>
        <v>9</v>
      </c>
    </row>
    <row r="6" customFormat="false" ht="61.5" hidden="false" customHeight="true" outlineLevel="0" collapsed="false">
      <c r="A6" s="5" t="s">
        <v>21</v>
      </c>
      <c r="B6" s="6" t="s">
        <v>15</v>
      </c>
      <c r="C6" s="5" t="s">
        <v>22</v>
      </c>
      <c r="D6" s="6" t="s">
        <v>23</v>
      </c>
      <c r="E6" s="7" t="n">
        <v>3</v>
      </c>
      <c r="F6" s="6" t="s">
        <v>24</v>
      </c>
      <c r="G6" s="7" t="n">
        <v>2</v>
      </c>
      <c r="H6" s="6" t="s">
        <v>25</v>
      </c>
      <c r="I6" s="7" t="n">
        <v>1</v>
      </c>
      <c r="J6" s="6" t="s">
        <v>26</v>
      </c>
      <c r="K6" s="8" t="n">
        <f aca="false">AVERAGE(E6,G6,I6)</f>
        <v>2</v>
      </c>
      <c r="L6" s="7" t="n">
        <f aca="false">RANK(K6,$K$5:$K$22)</f>
        <v>15</v>
      </c>
    </row>
    <row r="7" customFormat="false" ht="61.5" hidden="false" customHeight="true" outlineLevel="0" collapsed="false">
      <c r="A7" s="5" t="s">
        <v>27</v>
      </c>
      <c r="B7" s="6" t="s">
        <v>15</v>
      </c>
      <c r="C7" s="5" t="s">
        <v>28</v>
      </c>
      <c r="D7" s="6" t="s">
        <v>29</v>
      </c>
      <c r="E7" s="7" t="n">
        <v>4</v>
      </c>
      <c r="F7" s="6" t="s">
        <v>30</v>
      </c>
      <c r="G7" s="7" t="n">
        <v>3</v>
      </c>
      <c r="H7" s="6" t="s">
        <v>31</v>
      </c>
      <c r="I7" s="7" t="n">
        <v>1</v>
      </c>
      <c r="J7" s="6" t="s">
        <v>32</v>
      </c>
      <c r="K7" s="8" t="n">
        <f aca="false">AVERAGE(E7,G7,I7)</f>
        <v>2.66666666666667</v>
      </c>
      <c r="L7" s="7" t="n">
        <f aca="false">RANK(K7,$K$5:$K$22)</f>
        <v>9</v>
      </c>
    </row>
    <row r="8" customFormat="false" ht="61.5" hidden="false" customHeight="true" outlineLevel="0" collapsed="false">
      <c r="A8" s="5" t="s">
        <v>33</v>
      </c>
      <c r="B8" s="6" t="s">
        <v>34</v>
      </c>
      <c r="C8" s="5" t="s">
        <v>35</v>
      </c>
      <c r="D8" s="6" t="s">
        <v>36</v>
      </c>
      <c r="E8" s="7" t="n">
        <v>4</v>
      </c>
      <c r="F8" s="6" t="s">
        <v>37</v>
      </c>
      <c r="G8" s="7" t="n">
        <v>4</v>
      </c>
      <c r="H8" s="6" t="s">
        <v>38</v>
      </c>
      <c r="I8" s="7" t="n">
        <v>2</v>
      </c>
      <c r="J8" s="6" t="s">
        <v>39</v>
      </c>
      <c r="K8" s="8" t="n">
        <f aca="false">AVERAGE(E8,G8,I8)</f>
        <v>3.33333333333333</v>
      </c>
      <c r="L8" s="7" t="n">
        <f aca="false">RANK(K8,$K$5:$K$22)</f>
        <v>3</v>
      </c>
    </row>
    <row r="9" customFormat="false" ht="61.5" hidden="false" customHeight="true" outlineLevel="0" collapsed="false">
      <c r="A9" s="9" t="s">
        <v>40</v>
      </c>
      <c r="B9" s="10" t="s">
        <v>34</v>
      </c>
      <c r="C9" s="9" t="s">
        <v>41</v>
      </c>
      <c r="D9" s="10" t="s">
        <v>42</v>
      </c>
      <c r="E9" s="11" t="n">
        <v>4</v>
      </c>
      <c r="F9" s="10" t="s">
        <v>43</v>
      </c>
      <c r="G9" s="11" t="n">
        <v>3</v>
      </c>
      <c r="H9" s="10" t="s">
        <v>44</v>
      </c>
      <c r="I9" s="11" t="n">
        <v>5</v>
      </c>
      <c r="J9" s="10" t="s">
        <v>45</v>
      </c>
      <c r="K9" s="12" t="n">
        <f aca="false">AVERAGE(E9,G9,I9)</f>
        <v>4</v>
      </c>
      <c r="L9" s="11" t="n">
        <f aca="false">RANK(K9,$K$5:$K$22)</f>
        <v>1</v>
      </c>
    </row>
    <row r="10" customFormat="false" ht="61.5" hidden="false" customHeight="true" outlineLevel="0" collapsed="false">
      <c r="A10" s="5" t="s">
        <v>46</v>
      </c>
      <c r="B10" s="6" t="s">
        <v>34</v>
      </c>
      <c r="C10" s="5" t="s">
        <v>47</v>
      </c>
      <c r="D10" s="6" t="s">
        <v>48</v>
      </c>
      <c r="E10" s="7" t="n">
        <v>3</v>
      </c>
      <c r="F10" s="6" t="s">
        <v>49</v>
      </c>
      <c r="G10" s="7" t="n">
        <v>3</v>
      </c>
      <c r="H10" s="6" t="s">
        <v>50</v>
      </c>
      <c r="I10" s="7" t="n">
        <v>4</v>
      </c>
      <c r="J10" s="6" t="s">
        <v>51</v>
      </c>
      <c r="K10" s="8" t="n">
        <f aca="false">AVERAGE(E10,G10,I10)</f>
        <v>3.33333333333333</v>
      </c>
      <c r="L10" s="7" t="n">
        <f aca="false">RANK(K10,$K$5:$K$22)</f>
        <v>3</v>
      </c>
    </row>
    <row r="11" customFormat="false" ht="61.5" hidden="false" customHeight="true" outlineLevel="0" collapsed="false">
      <c r="A11" s="5" t="s">
        <v>52</v>
      </c>
      <c r="B11" s="6" t="s">
        <v>53</v>
      </c>
      <c r="C11" s="5" t="s">
        <v>54</v>
      </c>
      <c r="D11" s="6" t="s">
        <v>55</v>
      </c>
      <c r="E11" s="7" t="n">
        <v>2</v>
      </c>
      <c r="F11" s="6" t="s">
        <v>56</v>
      </c>
      <c r="G11" s="7" t="n">
        <v>3</v>
      </c>
      <c r="H11" s="6" t="s">
        <v>57</v>
      </c>
      <c r="I11" s="7" t="n">
        <v>2</v>
      </c>
      <c r="J11" s="6" t="s">
        <v>58</v>
      </c>
      <c r="K11" s="8" t="n">
        <f aca="false">AVERAGE(E11,G11,I11)</f>
        <v>2.33333333333333</v>
      </c>
      <c r="L11" s="7" t="n">
        <f aca="false">RANK(K11,$K$5:$K$22)</f>
        <v>14</v>
      </c>
    </row>
    <row r="12" customFormat="false" ht="61.5" hidden="false" customHeight="true" outlineLevel="0" collapsed="false">
      <c r="A12" s="9" t="s">
        <v>59</v>
      </c>
      <c r="B12" s="10" t="s">
        <v>53</v>
      </c>
      <c r="C12" s="9" t="s">
        <v>60</v>
      </c>
      <c r="D12" s="10" t="s">
        <v>61</v>
      </c>
      <c r="E12" s="11" t="n">
        <v>4</v>
      </c>
      <c r="F12" s="10" t="s">
        <v>62</v>
      </c>
      <c r="G12" s="11" t="n">
        <v>5</v>
      </c>
      <c r="H12" s="10" t="s">
        <v>63</v>
      </c>
      <c r="I12" s="11" t="n">
        <v>2</v>
      </c>
      <c r="J12" s="10" t="s">
        <v>64</v>
      </c>
      <c r="K12" s="12" t="n">
        <f aca="false">AVERAGE(E12,G12,I12)</f>
        <v>3.66666666666667</v>
      </c>
      <c r="L12" s="11" t="n">
        <f aca="false">RANK(K12,$K$5:$K$22)</f>
        <v>2</v>
      </c>
    </row>
    <row r="13" customFormat="false" ht="61.5" hidden="false" customHeight="true" outlineLevel="0" collapsed="false">
      <c r="A13" s="5" t="s">
        <v>65</v>
      </c>
      <c r="B13" s="6" t="s">
        <v>53</v>
      </c>
      <c r="C13" s="5" t="s">
        <v>66</v>
      </c>
      <c r="D13" s="6" t="s">
        <v>67</v>
      </c>
      <c r="E13" s="7" t="n">
        <v>4</v>
      </c>
      <c r="F13" s="6" t="s">
        <v>68</v>
      </c>
      <c r="G13" s="7" t="n">
        <v>4</v>
      </c>
      <c r="H13" s="6" t="s">
        <v>69</v>
      </c>
      <c r="I13" s="7" t="n">
        <v>2</v>
      </c>
      <c r="J13" s="6" t="s">
        <v>70</v>
      </c>
      <c r="K13" s="8" t="n">
        <f aca="false">AVERAGE(E13,G13,I13)</f>
        <v>3.33333333333333</v>
      </c>
      <c r="L13" s="7" t="n">
        <f aca="false">RANK(K13,$K$5:$K$22)</f>
        <v>3</v>
      </c>
    </row>
    <row r="14" customFormat="false" ht="61.5" hidden="false" customHeight="true" outlineLevel="0" collapsed="false">
      <c r="A14" s="5" t="s">
        <v>71</v>
      </c>
      <c r="B14" s="6" t="s">
        <v>72</v>
      </c>
      <c r="C14" s="5" t="s">
        <v>73</v>
      </c>
      <c r="D14" s="6" t="s">
        <v>74</v>
      </c>
      <c r="E14" s="7" t="n">
        <v>4</v>
      </c>
      <c r="F14" s="6" t="s">
        <v>75</v>
      </c>
      <c r="G14" s="7" t="n">
        <v>3</v>
      </c>
      <c r="H14" s="6" t="s">
        <v>76</v>
      </c>
      <c r="I14" s="7" t="n">
        <v>1</v>
      </c>
      <c r="J14" s="6" t="s">
        <v>77</v>
      </c>
      <c r="K14" s="8" t="n">
        <f aca="false">AVERAGE(E14,G14,I14)</f>
        <v>2.66666666666667</v>
      </c>
      <c r="L14" s="7" t="n">
        <f aca="false">RANK(K14,$K$5:$K$22)</f>
        <v>9</v>
      </c>
    </row>
    <row r="15" customFormat="false" ht="61.5" hidden="false" customHeight="true" outlineLevel="0" collapsed="false">
      <c r="A15" s="5" t="s">
        <v>78</v>
      </c>
      <c r="B15" s="6" t="s">
        <v>72</v>
      </c>
      <c r="C15" s="5" t="s">
        <v>79</v>
      </c>
      <c r="D15" s="6" t="s">
        <v>80</v>
      </c>
      <c r="E15" s="7" t="n">
        <v>3</v>
      </c>
      <c r="F15" s="6" t="s">
        <v>81</v>
      </c>
      <c r="G15" s="7" t="n">
        <v>2</v>
      </c>
      <c r="H15" s="6" t="s">
        <v>82</v>
      </c>
      <c r="I15" s="7" t="n">
        <v>1</v>
      </c>
      <c r="J15" s="6" t="s">
        <v>83</v>
      </c>
      <c r="K15" s="8" t="n">
        <f aca="false">AVERAGE(E15,G15,I15)</f>
        <v>2</v>
      </c>
      <c r="L15" s="7" t="n">
        <f aca="false">RANK(K15,$K$5:$K$22)</f>
        <v>15</v>
      </c>
    </row>
    <row r="16" customFormat="false" ht="61.5" hidden="false" customHeight="true" outlineLevel="0" collapsed="false">
      <c r="A16" s="5" t="s">
        <v>84</v>
      </c>
      <c r="B16" s="6" t="s">
        <v>72</v>
      </c>
      <c r="C16" s="5" t="s">
        <v>85</v>
      </c>
      <c r="D16" s="6" t="s">
        <v>86</v>
      </c>
      <c r="E16" s="7" t="n">
        <v>5</v>
      </c>
      <c r="F16" s="6" t="s">
        <v>87</v>
      </c>
      <c r="G16" s="7" t="n">
        <v>3</v>
      </c>
      <c r="H16" s="6" t="s">
        <v>88</v>
      </c>
      <c r="I16" s="7" t="n">
        <v>1</v>
      </c>
      <c r="J16" s="6" t="s">
        <v>89</v>
      </c>
      <c r="K16" s="8" t="n">
        <f aca="false">AVERAGE(E16,G16,I16)</f>
        <v>3</v>
      </c>
      <c r="L16" s="7" t="n">
        <f aca="false">RANK(K16,$K$5:$K$22)</f>
        <v>7</v>
      </c>
    </row>
    <row r="17" customFormat="false" ht="61.5" hidden="false" customHeight="true" outlineLevel="0" collapsed="false">
      <c r="A17" s="5" t="s">
        <v>90</v>
      </c>
      <c r="B17" s="6" t="s">
        <v>91</v>
      </c>
      <c r="C17" s="5" t="s">
        <v>92</v>
      </c>
      <c r="D17" s="6" t="s">
        <v>93</v>
      </c>
      <c r="E17" s="7" t="n">
        <v>3</v>
      </c>
      <c r="F17" s="6" t="s">
        <v>94</v>
      </c>
      <c r="G17" s="7" t="n">
        <v>2</v>
      </c>
      <c r="H17" s="6" t="s">
        <v>95</v>
      </c>
      <c r="I17" s="7" t="n">
        <v>3</v>
      </c>
      <c r="J17" s="6" t="s">
        <v>96</v>
      </c>
      <c r="K17" s="8" t="n">
        <f aca="false">AVERAGE(E17,G17,I17)</f>
        <v>2.66666666666667</v>
      </c>
      <c r="L17" s="7" t="n">
        <f aca="false">RANK(K17,$K$5:$K$22)</f>
        <v>9</v>
      </c>
    </row>
    <row r="18" customFormat="false" ht="61.5" hidden="false" customHeight="true" outlineLevel="0" collapsed="false">
      <c r="A18" s="5" t="s">
        <v>97</v>
      </c>
      <c r="B18" s="6" t="s">
        <v>91</v>
      </c>
      <c r="C18" s="5" t="s">
        <v>98</v>
      </c>
      <c r="D18" s="6" t="s">
        <v>99</v>
      </c>
      <c r="E18" s="7" t="n">
        <v>2</v>
      </c>
      <c r="F18" s="6" t="s">
        <v>100</v>
      </c>
      <c r="G18" s="7" t="n">
        <v>2</v>
      </c>
      <c r="H18" s="6" t="s">
        <v>101</v>
      </c>
      <c r="I18" s="7" t="n">
        <v>5</v>
      </c>
      <c r="J18" s="6" t="s">
        <v>102</v>
      </c>
      <c r="K18" s="8" t="n">
        <f aca="false">AVERAGE(E18,G18,I18)</f>
        <v>3</v>
      </c>
      <c r="L18" s="7" t="n">
        <f aca="false">RANK(K18,$K$5:$K$22)</f>
        <v>7</v>
      </c>
    </row>
    <row r="19" customFormat="false" ht="61.5" hidden="false" customHeight="true" outlineLevel="0" collapsed="false">
      <c r="A19" s="5" t="s">
        <v>103</v>
      </c>
      <c r="B19" s="6" t="s">
        <v>91</v>
      </c>
      <c r="C19" s="5" t="s">
        <v>104</v>
      </c>
      <c r="D19" s="6" t="s">
        <v>105</v>
      </c>
      <c r="E19" s="7" t="n">
        <v>1</v>
      </c>
      <c r="F19" s="6" t="s">
        <v>106</v>
      </c>
      <c r="G19" s="7" t="n">
        <v>1</v>
      </c>
      <c r="H19" s="6" t="s">
        <v>107</v>
      </c>
      <c r="I19" s="7" t="n">
        <v>4</v>
      </c>
      <c r="J19" s="6" t="s">
        <v>108</v>
      </c>
      <c r="K19" s="8" t="n">
        <f aca="false">AVERAGE(E19,G19,I19)</f>
        <v>2</v>
      </c>
      <c r="L19" s="7" t="n">
        <f aca="false">RANK(K19,$K$5:$K$22)</f>
        <v>15</v>
      </c>
    </row>
    <row r="20" customFormat="false" ht="61.5" hidden="false" customHeight="true" outlineLevel="0" collapsed="false">
      <c r="A20" s="5" t="s">
        <v>109</v>
      </c>
      <c r="B20" s="6" t="s">
        <v>110</v>
      </c>
      <c r="C20" s="5" t="s">
        <v>111</v>
      </c>
      <c r="D20" s="6" t="s">
        <v>112</v>
      </c>
      <c r="E20" s="7" t="n">
        <v>3</v>
      </c>
      <c r="F20" s="6" t="s">
        <v>113</v>
      </c>
      <c r="G20" s="7" t="n">
        <v>3</v>
      </c>
      <c r="H20" s="6" t="s">
        <v>114</v>
      </c>
      <c r="I20" s="7" t="n">
        <v>2</v>
      </c>
      <c r="J20" s="6" t="s">
        <v>115</v>
      </c>
      <c r="K20" s="8" t="n">
        <f aca="false">AVERAGE(E20,G20,I20)</f>
        <v>2.66666666666667</v>
      </c>
      <c r="L20" s="7" t="n">
        <f aca="false">RANK(K20,$K$5:$K$22)</f>
        <v>9</v>
      </c>
    </row>
    <row r="21" customFormat="false" ht="61.5" hidden="false" customHeight="true" outlineLevel="0" collapsed="false">
      <c r="A21" s="5" t="s">
        <v>116</v>
      </c>
      <c r="B21" s="6" t="s">
        <v>110</v>
      </c>
      <c r="C21" s="5" t="s">
        <v>117</v>
      </c>
      <c r="D21" s="6" t="s">
        <v>118</v>
      </c>
      <c r="E21" s="7" t="n">
        <v>4</v>
      </c>
      <c r="F21" s="6" t="s">
        <v>119</v>
      </c>
      <c r="G21" s="7" t="n">
        <v>4</v>
      </c>
      <c r="H21" s="6" t="s">
        <v>120</v>
      </c>
      <c r="I21" s="7" t="n">
        <v>2</v>
      </c>
      <c r="J21" s="6" t="s">
        <v>121</v>
      </c>
      <c r="K21" s="8" t="n">
        <f aca="false">AVERAGE(E21,G21,I21)</f>
        <v>3.33333333333333</v>
      </c>
      <c r="L21" s="7" t="n">
        <f aca="false">RANK(K21,$K$5:$K$22)</f>
        <v>3</v>
      </c>
    </row>
    <row r="22" customFormat="false" ht="61.5" hidden="false" customHeight="true" outlineLevel="0" collapsed="false">
      <c r="A22" s="5" t="s">
        <v>122</v>
      </c>
      <c r="B22" s="6" t="s">
        <v>110</v>
      </c>
      <c r="C22" s="5" t="s">
        <v>123</v>
      </c>
      <c r="D22" s="6" t="s">
        <v>124</v>
      </c>
      <c r="E22" s="7" t="n">
        <v>2</v>
      </c>
      <c r="F22" s="6" t="s">
        <v>125</v>
      </c>
      <c r="G22" s="7" t="n">
        <v>1</v>
      </c>
      <c r="H22" s="6" t="s">
        <v>126</v>
      </c>
      <c r="I22" s="7" t="n">
        <v>3</v>
      </c>
      <c r="J22" s="6" t="s">
        <v>127</v>
      </c>
      <c r="K22" s="8" t="n">
        <f aca="false">AVERAGE(E22,G22,I22)</f>
        <v>2</v>
      </c>
      <c r="L22" s="7" t="n">
        <f aca="false">RANK(K22,$K$5:$K$22)</f>
        <v>15</v>
      </c>
    </row>
    <row r="24" customFormat="false" ht="15" hidden="false" customHeight="true" outlineLevel="0" collapsed="false">
      <c r="A24" s="13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30"/>
    <col collapsed="false" customWidth="true" hidden="false" outlineLevel="0" max="4" min="4" style="1" width="70"/>
    <col collapsed="false" customWidth="true" hidden="false" outlineLevel="0" max="5" min="5" style="1" width="11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2" t="s">
        <v>129</v>
      </c>
    </row>
    <row r="2" customFormat="false" ht="15" hidden="false" customHeight="true" outlineLevel="0" collapsed="false">
      <c r="A2" s="3" t="s">
        <v>130</v>
      </c>
    </row>
    <row r="4" customFormat="false" ht="42" hidden="false" customHeight="true" outlineLevel="0" collapsed="false">
      <c r="A4" s="4" t="s">
        <v>2</v>
      </c>
      <c r="B4" s="4" t="s">
        <v>4</v>
      </c>
      <c r="C4" s="4" t="s">
        <v>131</v>
      </c>
      <c r="D4" s="4" t="s">
        <v>132</v>
      </c>
      <c r="E4" s="4" t="s">
        <v>133</v>
      </c>
      <c r="F4" s="4" t="s">
        <v>134</v>
      </c>
    </row>
    <row r="5" customFormat="false" ht="48" hidden="false" customHeight="true" outlineLevel="0" collapsed="false">
      <c r="A5" s="5" t="s">
        <v>14</v>
      </c>
      <c r="B5" s="6" t="s">
        <v>16</v>
      </c>
      <c r="C5" s="6" t="s">
        <v>135</v>
      </c>
      <c r="D5" s="6" t="s">
        <v>136</v>
      </c>
      <c r="E5" s="10" t="s">
        <v>137</v>
      </c>
      <c r="F5" s="6" t="s">
        <v>138</v>
      </c>
    </row>
    <row r="6" customFormat="false" ht="48" hidden="false" customHeight="true" outlineLevel="0" collapsed="false">
      <c r="A6" s="5" t="s">
        <v>21</v>
      </c>
      <c r="B6" s="6" t="s">
        <v>22</v>
      </c>
      <c r="C6" s="6" t="s">
        <v>139</v>
      </c>
      <c r="D6" s="6" t="s">
        <v>140</v>
      </c>
      <c r="E6" s="14" t="s">
        <v>141</v>
      </c>
      <c r="F6" s="6" t="s">
        <v>142</v>
      </c>
    </row>
    <row r="7" customFormat="false" ht="48" hidden="false" customHeight="true" outlineLevel="0" collapsed="false">
      <c r="A7" s="5" t="s">
        <v>27</v>
      </c>
      <c r="B7" s="6" t="s">
        <v>28</v>
      </c>
      <c r="C7" s="6" t="s">
        <v>143</v>
      </c>
      <c r="D7" s="6" t="s">
        <v>144</v>
      </c>
      <c r="E7" s="10" t="s">
        <v>137</v>
      </c>
      <c r="F7" s="6" t="s">
        <v>145</v>
      </c>
    </row>
    <row r="8" customFormat="false" ht="48" hidden="false" customHeight="true" outlineLevel="0" collapsed="false">
      <c r="A8" s="5" t="s">
        <v>33</v>
      </c>
      <c r="B8" s="6" t="s">
        <v>35</v>
      </c>
      <c r="C8" s="6" t="s">
        <v>146</v>
      </c>
      <c r="D8" s="6" t="s">
        <v>147</v>
      </c>
      <c r="E8" s="14" t="s">
        <v>141</v>
      </c>
      <c r="F8" s="6" t="s">
        <v>148</v>
      </c>
    </row>
    <row r="9" customFormat="false" ht="48" hidden="false" customHeight="true" outlineLevel="0" collapsed="false">
      <c r="A9" s="5" t="s">
        <v>40</v>
      </c>
      <c r="B9" s="6" t="s">
        <v>41</v>
      </c>
      <c r="C9" s="6" t="s">
        <v>149</v>
      </c>
      <c r="D9" s="6" t="s">
        <v>150</v>
      </c>
      <c r="E9" s="15" t="s">
        <v>151</v>
      </c>
      <c r="F9" s="6" t="s">
        <v>152</v>
      </c>
    </row>
    <row r="10" customFormat="false" ht="48" hidden="false" customHeight="true" outlineLevel="0" collapsed="false">
      <c r="A10" s="5" t="s">
        <v>46</v>
      </c>
      <c r="B10" s="6" t="s">
        <v>47</v>
      </c>
      <c r="C10" s="6" t="s">
        <v>153</v>
      </c>
      <c r="D10" s="6" t="s">
        <v>154</v>
      </c>
      <c r="E10" s="14" t="s">
        <v>141</v>
      </c>
      <c r="F10" s="6" t="s">
        <v>155</v>
      </c>
    </row>
    <row r="11" customFormat="false" ht="48" hidden="false" customHeight="true" outlineLevel="0" collapsed="false">
      <c r="A11" s="5" t="s">
        <v>52</v>
      </c>
      <c r="B11" s="6" t="s">
        <v>54</v>
      </c>
      <c r="C11" s="6" t="s">
        <v>156</v>
      </c>
      <c r="D11" s="6" t="s">
        <v>157</v>
      </c>
      <c r="E11" s="15" t="s">
        <v>151</v>
      </c>
      <c r="F11" s="6" t="s">
        <v>158</v>
      </c>
    </row>
    <row r="12" customFormat="false" ht="48" hidden="false" customHeight="true" outlineLevel="0" collapsed="false">
      <c r="A12" s="5" t="s">
        <v>59</v>
      </c>
      <c r="B12" s="6" t="s">
        <v>60</v>
      </c>
      <c r="C12" s="6" t="s">
        <v>146</v>
      </c>
      <c r="D12" s="6" t="s">
        <v>159</v>
      </c>
      <c r="E12" s="14" t="s">
        <v>141</v>
      </c>
      <c r="F12" s="6" t="s">
        <v>160</v>
      </c>
    </row>
    <row r="13" customFormat="false" ht="48" hidden="false" customHeight="true" outlineLevel="0" collapsed="false">
      <c r="A13" s="5" t="s">
        <v>65</v>
      </c>
      <c r="B13" s="6" t="s">
        <v>66</v>
      </c>
      <c r="C13" s="6" t="s">
        <v>146</v>
      </c>
      <c r="D13" s="6" t="s">
        <v>161</v>
      </c>
      <c r="E13" s="14" t="s">
        <v>141</v>
      </c>
      <c r="F13" s="6" t="s">
        <v>162</v>
      </c>
    </row>
    <row r="14" customFormat="false" ht="48" hidden="false" customHeight="true" outlineLevel="0" collapsed="false">
      <c r="A14" s="5" t="s">
        <v>71</v>
      </c>
      <c r="B14" s="6" t="s">
        <v>73</v>
      </c>
      <c r="C14" s="6" t="s">
        <v>146</v>
      </c>
      <c r="D14" s="6" t="s">
        <v>163</v>
      </c>
      <c r="E14" s="10" t="s">
        <v>137</v>
      </c>
      <c r="F14" s="6" t="s">
        <v>164</v>
      </c>
    </row>
    <row r="15" customFormat="false" ht="48" hidden="false" customHeight="true" outlineLevel="0" collapsed="false">
      <c r="A15" s="5" t="s">
        <v>78</v>
      </c>
      <c r="B15" s="6" t="s">
        <v>79</v>
      </c>
      <c r="C15" s="6" t="s">
        <v>165</v>
      </c>
      <c r="D15" s="6" t="s">
        <v>166</v>
      </c>
      <c r="E15" s="14" t="s">
        <v>141</v>
      </c>
      <c r="F15" s="6" t="s">
        <v>167</v>
      </c>
    </row>
    <row r="16" customFormat="false" ht="48" hidden="false" customHeight="true" outlineLevel="0" collapsed="false">
      <c r="A16" s="5" t="s">
        <v>84</v>
      </c>
      <c r="B16" s="6" t="s">
        <v>85</v>
      </c>
      <c r="C16" s="6" t="s">
        <v>143</v>
      </c>
      <c r="D16" s="6" t="s">
        <v>168</v>
      </c>
      <c r="E16" s="10" t="s">
        <v>137</v>
      </c>
      <c r="F16" s="6" t="s">
        <v>164</v>
      </c>
    </row>
    <row r="17" customFormat="false" ht="48" hidden="false" customHeight="true" outlineLevel="0" collapsed="false">
      <c r="A17" s="5" t="s">
        <v>90</v>
      </c>
      <c r="B17" s="6" t="s">
        <v>92</v>
      </c>
      <c r="C17" s="6" t="s">
        <v>169</v>
      </c>
      <c r="D17" s="6" t="s">
        <v>170</v>
      </c>
      <c r="E17" s="14" t="s">
        <v>141</v>
      </c>
      <c r="F17" s="6" t="s">
        <v>171</v>
      </c>
    </row>
    <row r="18" customFormat="false" ht="48" hidden="false" customHeight="true" outlineLevel="0" collapsed="false">
      <c r="A18" s="5" t="s">
        <v>97</v>
      </c>
      <c r="B18" s="6" t="s">
        <v>98</v>
      </c>
      <c r="C18" s="6" t="s">
        <v>172</v>
      </c>
      <c r="D18" s="6" t="s">
        <v>173</v>
      </c>
      <c r="E18" s="15" t="s">
        <v>151</v>
      </c>
      <c r="F18" s="6" t="s">
        <v>174</v>
      </c>
    </row>
    <row r="19" customFormat="false" ht="48" hidden="false" customHeight="true" outlineLevel="0" collapsed="false">
      <c r="A19" s="5" t="s">
        <v>103</v>
      </c>
      <c r="B19" s="6" t="s">
        <v>104</v>
      </c>
      <c r="C19" s="6" t="s">
        <v>175</v>
      </c>
      <c r="D19" s="6" t="s">
        <v>176</v>
      </c>
      <c r="E19" s="15" t="s">
        <v>151</v>
      </c>
      <c r="F19" s="6" t="s">
        <v>177</v>
      </c>
    </row>
    <row r="20" customFormat="false" ht="48" hidden="false" customHeight="true" outlineLevel="0" collapsed="false">
      <c r="A20" s="5" t="s">
        <v>109</v>
      </c>
      <c r="B20" s="6" t="s">
        <v>111</v>
      </c>
      <c r="C20" s="6" t="s">
        <v>146</v>
      </c>
      <c r="D20" s="6" t="s">
        <v>178</v>
      </c>
      <c r="E20" s="10" t="s">
        <v>137</v>
      </c>
      <c r="F20" s="6" t="s">
        <v>179</v>
      </c>
    </row>
    <row r="21" customFormat="false" ht="48" hidden="false" customHeight="true" outlineLevel="0" collapsed="false">
      <c r="A21" s="5" t="s">
        <v>116</v>
      </c>
      <c r="B21" s="6" t="s">
        <v>117</v>
      </c>
      <c r="C21" s="6" t="s">
        <v>146</v>
      </c>
      <c r="D21" s="6" t="s">
        <v>180</v>
      </c>
      <c r="E21" s="14" t="s">
        <v>141</v>
      </c>
      <c r="F21" s="6" t="s">
        <v>181</v>
      </c>
    </row>
    <row r="22" customFormat="false" ht="48" hidden="false" customHeight="true" outlineLevel="0" collapsed="false">
      <c r="A22" s="5" t="s">
        <v>122</v>
      </c>
      <c r="B22" s="6" t="s">
        <v>123</v>
      </c>
      <c r="C22" s="6" t="s">
        <v>182</v>
      </c>
      <c r="D22" s="6" t="s">
        <v>183</v>
      </c>
      <c r="E22" s="15" t="s">
        <v>151</v>
      </c>
      <c r="F22" s="6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0"/>
  </cols>
  <sheetData>
    <row r="1" customFormat="false" ht="17.25" hidden="false" customHeight="true" outlineLevel="0" collapsed="false">
      <c r="A1" s="2" t="s">
        <v>185</v>
      </c>
    </row>
    <row r="2" customFormat="false" ht="15" hidden="false" customHeight="true" outlineLevel="0" collapsed="false">
      <c r="A2" s="3" t="s">
        <v>186</v>
      </c>
    </row>
    <row r="4" customFormat="false" ht="15" hidden="false" customHeight="true" outlineLevel="0" collapsed="false">
      <c r="A4" s="16" t="s">
        <v>187</v>
      </c>
    </row>
    <row r="5" customFormat="false" ht="48" hidden="false" customHeight="true" outlineLevel="0" collapsed="false">
      <c r="A5" s="5" t="s">
        <v>188</v>
      </c>
      <c r="B5" s="6" t="s">
        <v>189</v>
      </c>
    </row>
    <row r="6" customFormat="false" ht="48" hidden="false" customHeight="true" outlineLevel="0" collapsed="false">
      <c r="A6" s="5" t="s">
        <v>190</v>
      </c>
      <c r="B6" s="6" t="s">
        <v>191</v>
      </c>
    </row>
    <row r="7" customFormat="false" ht="48" hidden="false" customHeight="true" outlineLevel="0" collapsed="false">
      <c r="A7" s="5" t="s">
        <v>192</v>
      </c>
      <c r="B7" s="6" t="s">
        <v>193</v>
      </c>
    </row>
    <row r="8" customFormat="false" ht="48" hidden="false" customHeight="true" outlineLevel="0" collapsed="false">
      <c r="A8" s="5" t="s">
        <v>194</v>
      </c>
      <c r="B8" s="6" t="s">
        <v>195</v>
      </c>
    </row>
    <row r="10" customFormat="false" ht="15" hidden="false" customHeight="true" outlineLevel="0" collapsed="false">
      <c r="A10" s="16" t="s">
        <v>196</v>
      </c>
    </row>
    <row r="11" customFormat="false" ht="48" hidden="false" customHeight="true" outlineLevel="0" collapsed="false">
      <c r="A11" s="5" t="s">
        <v>188</v>
      </c>
      <c r="B11" s="6" t="s">
        <v>197</v>
      </c>
    </row>
    <row r="12" customFormat="false" ht="48" hidden="false" customHeight="true" outlineLevel="0" collapsed="false">
      <c r="A12" s="5" t="s">
        <v>190</v>
      </c>
      <c r="B12" s="6" t="s">
        <v>198</v>
      </c>
    </row>
    <row r="13" customFormat="false" ht="48" hidden="false" customHeight="true" outlineLevel="0" collapsed="false">
      <c r="A13" s="5" t="s">
        <v>192</v>
      </c>
      <c r="B13" s="6" t="s">
        <v>199</v>
      </c>
    </row>
    <row r="14" customFormat="false" ht="48" hidden="false" customHeight="true" outlineLevel="0" collapsed="false">
      <c r="A14" s="5" t="s">
        <v>194</v>
      </c>
      <c r="B14" s="6" t="s">
        <v>200</v>
      </c>
    </row>
    <row r="16" customFormat="false" ht="15" hidden="false" customHeight="true" outlineLevel="0" collapsed="false">
      <c r="A16" s="13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28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18"/>
  </cols>
  <sheetData>
    <row r="1" customFormat="false" ht="17.25" hidden="false" customHeight="true" outlineLevel="0" collapsed="false">
      <c r="A1" s="2" t="s">
        <v>202</v>
      </c>
    </row>
    <row r="2" customFormat="false" ht="15" hidden="false" customHeight="true" outlineLevel="0" collapsed="false">
      <c r="A2" s="3" t="s">
        <v>203</v>
      </c>
    </row>
    <row r="4" customFormat="false" ht="15" hidden="false" customHeight="true" outlineLevel="0" collapsed="false">
      <c r="A4" s="17" t="s">
        <v>204</v>
      </c>
      <c r="B4" s="18" t="n">
        <v>0.1</v>
      </c>
    </row>
    <row r="5" customFormat="false" ht="15" hidden="false" customHeight="true" outlineLevel="0" collapsed="false">
      <c r="A5" s="17" t="s">
        <v>205</v>
      </c>
      <c r="B5" s="19" t="n">
        <v>0.05</v>
      </c>
    </row>
    <row r="6" customFormat="false" ht="15" hidden="false" customHeight="true" outlineLevel="0" collapsed="false">
      <c r="A6" s="17" t="s">
        <v>206</v>
      </c>
      <c r="B6" s="20" t="n">
        <v>0.8</v>
      </c>
    </row>
    <row r="7" customFormat="false" ht="15" hidden="false" customHeight="true" outlineLevel="0" collapsed="false">
      <c r="A7" s="17" t="s">
        <v>207</v>
      </c>
      <c r="B7" s="21" t="n">
        <v>2</v>
      </c>
    </row>
    <row r="8" customFormat="false" ht="15" hidden="false" customHeight="true" outlineLevel="0" collapsed="false">
      <c r="A8" s="17" t="s">
        <v>208</v>
      </c>
      <c r="B8" s="22" t="n">
        <v>2800</v>
      </c>
    </row>
    <row r="10" customFormat="false" ht="42" hidden="false" customHeight="true" outlineLevel="0" collapsed="false">
      <c r="A10" s="4" t="s">
        <v>209</v>
      </c>
      <c r="B10" s="4" t="s">
        <v>210</v>
      </c>
      <c r="C10" s="4" t="s">
        <v>211</v>
      </c>
      <c r="D10" s="4" t="s">
        <v>212</v>
      </c>
      <c r="E10" s="4" t="s">
        <v>213</v>
      </c>
      <c r="F10" s="4" t="s">
        <v>214</v>
      </c>
      <c r="G10" s="4" t="s">
        <v>215</v>
      </c>
    </row>
    <row r="11" customFormat="false" ht="15" hidden="false" customHeight="true" outlineLevel="0" collapsed="false">
      <c r="A11" s="23" t="n">
        <v>0.01</v>
      </c>
      <c r="B11" s="24" t="n">
        <f aca="false">$B$4+A11</f>
        <v>0.11</v>
      </c>
      <c r="C11" s="25" t="n">
        <f aca="false">ROUNDUP(((NORMSINV(1-$B$5/2)*SQRT(2*(($B$4+B11)/2)*(1-($B$4+B11)/2))+NORMSINV($B$6)*SQRT($B$4*(1-$B$4)+B11*(1-B11)))^2)/(A11^2),0)</f>
        <v>14751</v>
      </c>
      <c r="D11" s="25" t="n">
        <f aca="false">ROUNDUP(((NORMSINV(1-($B$5/$B$7)/2)*SQRT(2*(($B$4+B11)/2)*(1-($B$4+B11)/2))+NORMSINV($B$6)*SQRT($B$4*(1-$B$4)+B11*(1-B11)))^2)/(A11^2),0)</f>
        <v>17864</v>
      </c>
      <c r="E11" s="25" t="n">
        <f aca="false">D11*3</f>
        <v>53592</v>
      </c>
      <c r="F11" s="26" t="n">
        <f aca="false">E11/$B$8</f>
        <v>19.14</v>
      </c>
      <c r="G11" s="27" t="str">
        <f aca="false">IF(F11&lt;=3,"Sim","Não")</f>
        <v>Não</v>
      </c>
    </row>
    <row r="12" customFormat="false" ht="15" hidden="false" customHeight="true" outlineLevel="0" collapsed="false">
      <c r="A12" s="23" t="n">
        <v>0.015</v>
      </c>
      <c r="B12" s="24" t="n">
        <f aca="false">$B$4+A12</f>
        <v>0.115</v>
      </c>
      <c r="C12" s="25" t="n">
        <f aca="false">ROUNDUP(((NORMSINV(1-$B$5/2)*SQRT(2*(($B$4+B12)/2)*(1-($B$4+B12)/2))+NORMSINV($B$6)*SQRT($B$4*(1-$B$4)+B12*(1-B12)))^2)/(A12^2),0)</f>
        <v>6693</v>
      </c>
      <c r="D12" s="25" t="n">
        <f aca="false">ROUNDUP(((NORMSINV(1-($B$5/$B$7)/2)*SQRT(2*(($B$4+B12)/2)*(1-($B$4+B12)/2))+NORMSINV($B$6)*SQRT($B$4*(1-$B$4)+B12*(1-B12)))^2)/(A12^2),0)</f>
        <v>8105</v>
      </c>
      <c r="E12" s="25" t="n">
        <f aca="false">D12*3</f>
        <v>24315</v>
      </c>
      <c r="F12" s="26" t="n">
        <f aca="false">E12/$B$8</f>
        <v>8.68392857142857</v>
      </c>
      <c r="G12" s="27" t="str">
        <f aca="false">IF(F12&lt;=3,"Sim","Não")</f>
        <v>Não</v>
      </c>
    </row>
    <row r="13" customFormat="false" ht="15" hidden="false" customHeight="true" outlineLevel="0" collapsed="false">
      <c r="A13" s="23" t="n">
        <v>0.02</v>
      </c>
      <c r="B13" s="24" t="n">
        <f aca="false">$B$4+A13</f>
        <v>0.12</v>
      </c>
      <c r="C13" s="25" t="n">
        <f aca="false">ROUNDUP(((NORMSINV(1-$B$5/2)*SQRT(2*(($B$4+B13)/2)*(1-($B$4+B13)/2))+NORMSINV($B$6)*SQRT($B$4*(1-$B$4)+B13*(1-B13)))^2)/(A13^2),0)</f>
        <v>3841</v>
      </c>
      <c r="D13" s="25" t="n">
        <f aca="false">ROUNDUP(((NORMSINV(1-($B$5/$B$7)/2)*SQRT(2*(($B$4+B13)/2)*(1-($B$4+B13)/2))+NORMSINV($B$6)*SQRT($B$4*(1-$B$4)+B13*(1-B13)))^2)/(A13^2),0)</f>
        <v>4652</v>
      </c>
      <c r="E13" s="25" t="n">
        <f aca="false">D13*3</f>
        <v>13956</v>
      </c>
      <c r="F13" s="26" t="n">
        <f aca="false">E13/$B$8</f>
        <v>4.98428571428571</v>
      </c>
      <c r="G13" s="27" t="str">
        <f aca="false">IF(F13&lt;=3,"Sim","Não")</f>
        <v>Não</v>
      </c>
    </row>
    <row r="14" customFormat="false" ht="15" hidden="false" customHeight="true" outlineLevel="0" collapsed="false">
      <c r="A14" s="23" t="n">
        <v>0.03</v>
      </c>
      <c r="B14" s="24" t="n">
        <f aca="false">$B$4+A14</f>
        <v>0.13</v>
      </c>
      <c r="C14" s="25" t="n">
        <f aca="false">ROUNDUP(((NORMSINV(1-$B$5/2)*SQRT(2*(($B$4+B14)/2)*(1-($B$4+B14)/2))+NORMSINV($B$6)*SQRT($B$4*(1-$B$4)+B14*(1-B14)))^2)/(A14^2),0)</f>
        <v>1774</v>
      </c>
      <c r="D14" s="25" t="n">
        <f aca="false">ROUNDUP(((NORMSINV(1-($B$5/$B$7)/2)*SQRT(2*(($B$4+B14)/2)*(1-($B$4+B14)/2))+NORMSINV($B$6)*SQRT($B$4*(1-$B$4)+B14*(1-B14)))^2)/(A14^2),0)</f>
        <v>2149</v>
      </c>
      <c r="E14" s="25" t="n">
        <f aca="false">D14*3</f>
        <v>6447</v>
      </c>
      <c r="F14" s="26" t="n">
        <f aca="false">E14/$B$8</f>
        <v>2.3025</v>
      </c>
      <c r="G14" s="27" t="str">
        <f aca="false">IF(F14&lt;=3,"Sim","Não")</f>
        <v>Sim</v>
      </c>
    </row>
    <row r="15" customFormat="false" ht="15" hidden="false" customHeight="true" outlineLevel="0" collapsed="false">
      <c r="A15" s="23" t="n">
        <v>0.05</v>
      </c>
      <c r="B15" s="24" t="n">
        <f aca="false">$B$4+A15</f>
        <v>0.15</v>
      </c>
      <c r="C15" s="25" t="n">
        <f aca="false">ROUNDUP(((NORMSINV(1-$B$5/2)*SQRT(2*(($B$4+B15)/2)*(1-($B$4+B15)/2))+NORMSINV($B$6)*SQRT($B$4*(1-$B$4)+B15*(1-B15)))^2)/(A15^2),0)</f>
        <v>686</v>
      </c>
      <c r="D15" s="25" t="n">
        <f aca="false">ROUNDUP(((NORMSINV(1-($B$5/$B$7)/2)*SQRT(2*(($B$4+B15)/2)*(1-($B$4+B15)/2))+NORMSINV($B$6)*SQRT($B$4*(1-$B$4)+B15*(1-B15)))^2)/(A15^2),0)</f>
        <v>831</v>
      </c>
      <c r="E15" s="25" t="n">
        <f aca="false">D15*3</f>
        <v>2493</v>
      </c>
      <c r="F15" s="26" t="n">
        <f aca="false">E15/$B$8</f>
        <v>0.890357142857143</v>
      </c>
      <c r="G15" s="27" t="str">
        <f aca="false">IF(F15&lt;=3,"Sim","Não")</f>
        <v>Sim</v>
      </c>
    </row>
    <row r="17" customFormat="false" ht="15" hidden="false" customHeight="true" outlineLevel="0" collapsed="false">
      <c r="A17" s="13" t="s">
        <v>216</v>
      </c>
    </row>
    <row r="18" customFormat="false" ht="15" hidden="false" customHeight="true" outlineLevel="0" collapsed="false">
      <c r="A18" s="13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20"/>
  </cols>
  <sheetData>
    <row r="1" customFormat="false" ht="17.25" hidden="false" customHeight="true" outlineLevel="0" collapsed="false">
      <c r="A1" s="2" t="s">
        <v>218</v>
      </c>
    </row>
    <row r="3" customFormat="false" ht="42" hidden="false" customHeight="true" outlineLevel="0" collapsed="false">
      <c r="A3" s="4" t="s">
        <v>219</v>
      </c>
      <c r="B3" s="4" t="s">
        <v>220</v>
      </c>
    </row>
    <row r="4" customFormat="false" ht="36" hidden="false" customHeight="true" outlineLevel="0" collapsed="false">
      <c r="A4" s="5" t="s">
        <v>221</v>
      </c>
      <c r="B4" s="6" t="s">
        <v>222</v>
      </c>
    </row>
    <row r="5" customFormat="false" ht="36" hidden="false" customHeight="true" outlineLevel="0" collapsed="false">
      <c r="A5" s="5" t="s">
        <v>223</v>
      </c>
      <c r="B5" s="6" t="s">
        <v>224</v>
      </c>
    </row>
    <row r="6" customFormat="false" ht="36" hidden="false" customHeight="true" outlineLevel="0" collapsed="false">
      <c r="A6" s="5" t="s">
        <v>225</v>
      </c>
      <c r="B6" s="6" t="s">
        <v>226</v>
      </c>
    </row>
    <row r="7" customFormat="false" ht="36" hidden="false" customHeight="true" outlineLevel="0" collapsed="false">
      <c r="A7" s="5" t="s">
        <v>227</v>
      </c>
      <c r="B7" s="6" t="s">
        <v>228</v>
      </c>
    </row>
    <row r="8" customFormat="false" ht="36" hidden="false" customHeight="true" outlineLevel="0" collapsed="false">
      <c r="A8" s="5" t="s">
        <v>229</v>
      </c>
      <c r="B8" s="6" t="s">
        <v>230</v>
      </c>
    </row>
    <row r="9" customFormat="false" ht="36" hidden="false" customHeight="true" outlineLevel="0" collapsed="false">
      <c r="A9" s="5" t="s">
        <v>231</v>
      </c>
      <c r="B9" s="6" t="s">
        <v>232</v>
      </c>
    </row>
    <row r="10" customFormat="false" ht="36" hidden="false" customHeight="true" outlineLevel="0" collapsed="false">
      <c r="A10" s="5" t="s">
        <v>233</v>
      </c>
      <c r="B10" s="6" t="s">
        <v>234</v>
      </c>
    </row>
    <row r="11" customFormat="false" ht="36" hidden="false" customHeight="true" outlineLevel="0" collapsed="false">
      <c r="A11" s="5" t="s">
        <v>235</v>
      </c>
      <c r="B11" s="6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2026-10-24T17:37:22Z</dcterms:created>
  <dc:creator>openpyxl</dc:creator>
  <dc:description/>
  <dc:language>en-US</dc:language>
  <cp:lastModifiedBy/>
  <dcterms:modified xsi:type="dcterms:W3CDTF">2026-10-24T17:37:37Z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