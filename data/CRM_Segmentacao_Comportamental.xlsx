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ro por plano" sheetId="1" state="visible" r:id="rId3"/>
    <sheet name="Cupons por plano" sheetId="2" state="visible" r:id="rId4"/>
    <sheet name="Grupos e ações" sheetId="3" state="visible" r:id="rId5"/>
    <sheet name="Exploração" sheetId="4" state="visible" r:id="rId6"/>
    <sheet name="Escolha de k" sheetId="5" state="visible" r:id="rId7"/>
    <sheet name="Estabilidade" sheetId="6" state="visible" r:id="rId8"/>
    <sheet name="Cancelamento por canal" sheetId="7" state="visible" r:id="rId9"/>
    <sheet name="Top 20% da receita" sheetId="8" state="visible" r:id="rId10"/>
    <sheet name="Base atual (usar amanhã)" sheetId="9" state="visible" r:id="rId11"/>
    <sheet name="Decisões a NÃO tomar" sheetId="10" state="visible" r:id="rId12"/>
    <sheet name="Dados por plano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<sst xmlns="http://schemas.openxmlformats.org/spreadsheetml/2006/main" count="448" uniqueCount="258">
  <si>
    <t xml:space="preserve">Filtro por plano: os 6 grupos do k-means para o plano escolhido</t>
  </si>
  <si>
    <t xml:space="preserve">Escolha o plano na célula amarela. Os grupos são os mesmos do modelo global (o plano não é variável do k-means).</t>
  </si>
  <si>
    <t xml:space="preserve">Plano selecionado:</t>
  </si>
  <si>
    <t xml:space="preserve">Todos</t>
  </si>
  <si>
    <t xml:space="preserve">Grupo</t>
  </si>
  <si>
    <t xml:space="preserve">Clientes</t>
  </si>
  <si>
    <t xml:space="preserve">% de clientes</t>
  </si>
  <si>
    <t xml:space="preserve">Valor pago acumulado (R$)</t>
  </si>
  <si>
    <t xml:space="preserve">% da receita</t>
  </si>
  <si>
    <t xml:space="preserve">Receita média (R$)</t>
  </si>
  <si>
    <t xml:space="preserve">Cancelamento em 90 dias</t>
  </si>
  <si>
    <t xml:space="preserve">Cupons por cliente</t>
  </si>
  <si>
    <t xml:space="preserve">Oferta recomendada</t>
  </si>
  <si>
    <t xml:space="preserve">Cinéfilos de cupom</t>
  </si>
  <si>
    <t xml:space="preserve">Fiéis a preço cheio</t>
  </si>
  <si>
    <t xml:space="preserve">Esfriando (alto valor)</t>
  </si>
  <si>
    <t xml:space="preserve">Novatos em experimentação</t>
  </si>
  <si>
    <t xml:space="preserve">Presenteados</t>
  </si>
  <si>
    <t xml:space="preserve">Quase perdidos</t>
  </si>
  <si>
    <t xml:space="preserve">Total</t>
  </si>
  <si>
    <t xml:space="preserve">Comparativo: % de clientes de cada grupo por plano (base 26/07/2026)</t>
  </si>
  <si>
    <t xml:space="preserve">Premiere Futebol</t>
  </si>
  <si>
    <t xml:space="preserve">Telecine</t>
  </si>
  <si>
    <t xml:space="preserve">Plano Família Claro tv+</t>
  </si>
  <si>
    <t xml:space="preserve">Premiere vs Todos (p.p.)</t>
  </si>
  <si>
    <t xml:space="preserve">Telecine vs Todos (p.p.)</t>
  </si>
  <si>
    <t xml:space="preserve">Família vs Todos (p.p.)</t>
  </si>
  <si>
    <t xml:space="preserve">Comparativo: % da receita de cada grupo por plano</t>
  </si>
  <si>
    <t xml:space="preserve">Base ativa hoje (24/10/2026): clientes por grupo no plano selecionado (para a ação de amanhã)</t>
  </si>
  <si>
    <t xml:space="preserve">Clientes ativos</t>
  </si>
  <si>
    <t xml:space="preserve">% do plano</t>
  </si>
  <si>
    <t xml:space="preserve">Leitura: Família concentra mais "Fiéis a preço cheio" e "Cinéfilos de cupom"; Telecine concentra mais "Quase perdidos" e "Novatos". Parte disso é preço (o valor pago é menor no Telecine), não comportamento. Veja a aba "Cupons por plano".</t>
  </si>
  <si>
    <t xml:space="preserve">Cupons fazem sentido igualmente nos 3 planos? Não: a economia e o uso diferem</t>
  </si>
  <si>
    <t xml:space="preserve">Cupom de entrada = 40% off por 2 meses. Cupom de aluguel = desconto em compra/aluguel de filme. Base sintética.</t>
  </si>
  <si>
    <t xml:space="preserve">Indicador</t>
  </si>
  <si>
    <t xml:space="preserve">Leitura</t>
  </si>
  <si>
    <t xml:space="preserve">Preço de lista (R$/mês)</t>
  </si>
  <si>
    <t xml:space="preserve">Margem de contribuição (% do preço)</t>
  </si>
  <si>
    <t xml:space="preserve">Premiere: direitos esportivos; Família repassa 4 OTTs.</t>
  </si>
  <si>
    <t xml:space="preserve">Margem nos 2 meses de promo (% do preço de lista)</t>
  </si>
  <si>
    <t xml:space="preserve">Família fica NEGATIVA com 40% off: cada mês de promo custa dinheiro.</t>
  </si>
  <si>
    <t xml:space="preserve">Custo do desconto por cliente (R$)</t>
  </si>
  <si>
    <t xml:space="preserve">Contribuição mensal a preço cheio (R$)</t>
  </si>
  <si>
    <t xml:space="preserve">Meses de margem cheia para pagar o desconto</t>
  </si>
  <si>
    <t xml:space="preserve">Quanto maior, mais tempo o cliente precisa ficar para o cupom se pagar.</t>
  </si>
  <si>
    <t xml:space="preserve">Observado: retenção em 3 meses COM cupom de entrada</t>
  </si>
  <si>
    <t xml:space="preserve">Observado: retenção em 3 meses SEM cupom</t>
  </si>
  <si>
    <t xml:space="preserve">Dentro de cada origem x aquisição, para comparar o igual com o igual.</t>
  </si>
  <si>
    <t xml:space="preserve">Observado: retenção em 12 meses COM cupom</t>
  </si>
  <si>
    <t xml:space="preserve">Observado: retenção em 12 meses SEM cupom</t>
  </si>
  <si>
    <t xml:space="preserve">Margem 12 meses COM cupom (R$/cliente, só assinatura)</t>
  </si>
  <si>
    <t xml:space="preserve">Margem 12 meses SEM cupom (R$/cliente)</t>
  </si>
  <si>
    <t xml:space="preserve">% de clientes com cupom que precisam ser INCREMENTAIS para o cupom se pagar</t>
  </si>
  <si>
    <t xml:space="preserve">Se menos que isso for incremental (não assinaria sem o cupom), o cupom destrói valor. Fórmula: 1 - margem com / margem sem.</t>
  </si>
  <si>
    <t xml:space="preserve">% das assinaturas com cupom de entrada</t>
  </si>
  <si>
    <t xml:space="preserve">Praticamente iguais entre planos: é premissa da simulação, não resultado.</t>
  </si>
  <si>
    <t xml:space="preserve">Aluguéis por assinatura (24m)</t>
  </si>
  <si>
    <t xml:space="preserve">Na vida real, assinante de futebol deve alugar menos que o de cinema.</t>
  </si>
  <si>
    <t xml:space="preserve">% dos aluguéis com cupom</t>
  </si>
  <si>
    <t xml:space="preserve">% da receita que vem de aluguel/compra (TVOD)</t>
  </si>
  <si>
    <t xml:space="preserve">Conclusões e política de cupom sugerida por plano</t>
  </si>
  <si>
    <t xml:space="preserve">Plano</t>
  </si>
  <si>
    <t xml:space="preserve">Faz sentido?</t>
  </si>
  <si>
    <t xml:space="preserve">Por quê</t>
  </si>
  <si>
    <t xml:space="preserve">Política sugerida</t>
  </si>
  <si>
    <t xml:space="preserve">Teste</t>
  </si>
  <si>
    <t xml:space="preserve">Só em janelas de calendário</t>
  </si>
  <si>
    <t xml:space="preserve">Valor ligado à temporada: cupom fora do início do campeonato atrai quem sai em dez/jan. Margem de 5% do preço na promo.</t>
  </si>
  <si>
    <t xml:space="preserve">Cupom no início do Brasileirão/Copa; preferir anual (12x R$ 29,90) a % de desconto; sem cupom de aluguel.</t>
  </si>
  <si>
    <t xml:space="preserve">A/B em jan/abr: cupom 20% x 40% x sem cupom; medir churn em dez/jan.</t>
  </si>
  <si>
    <t xml:space="preserve">Sim, o que mais faz sentido</t>
  </si>
  <si>
    <t xml:space="preserve">Preço baixo e margem alta (58%): desconto se paga em ~1,4 meses; aluguel de filme é complementar ao catálogo.</t>
  </si>
  <si>
    <t xml:space="preserve">Cupom de entrada de 30-40% por 1-2 meses e cupons de aluguel para ativar uso.</t>
  </si>
  <si>
    <t xml:space="preserve">A/B de cupom de aluguel x crédito fixo; medir uso e churn do 2º ciclo.</t>
  </si>
  <si>
    <t xml:space="preserve">Não como % de desconto</t>
  </si>
  <si>
    <t xml:space="preserve">Margem de 38%: com 40% off a margem nos 2 primeiros meses é negativa (-2% do preço) e o cupom leva 2,1 meses cheios para se pagar.</t>
  </si>
  <si>
    <t xml:space="preserve">Trocar % off por benefício de custo baixo (1 mês de OTT extra, upgrade temporário) e priorizar bundle com fibra/móvel.</t>
  </si>
  <si>
    <t xml:space="preserve">A/B: 40% off x benefício extra x sem cupom; medir margem em 12 meses.</t>
  </si>
  <si>
    <t xml:space="preserve">Limitação: na simulação o cupom de entrada tem o mesmo efeito de churn nos 3 planos e não aumenta o volume de aquisição (80 mil/mês fixos). Por isso a base mede o CUSTO e a perda de retenção do cupom, não o ganho de conversão; só um teste real mede a incrementalidade.</t>
  </si>
  <si>
    <t xml:space="preserve">Segmentação comportamental para o CRM (k-means, 6 grupos): base ativa em 26/07/2026 com churn observado até 24/10/2026</t>
  </si>
  <si>
    <t xml:space="preserve">Base sintética. Receita = valor pago acumulado até a data. Variáveis: R, F (pedidos), M, cupons, presente, NPS. Ordenado por % da receita.</t>
  </si>
  <si>
    <t xml:space="preserve">Receita acumulada (R$)</t>
  </si>
  <si>
    <t xml:space="preserve">Receita média por cliente (R$)</t>
  </si>
  <si>
    <t xml:space="preserve">Canal mais comum (% do grupo)</t>
  </si>
  <si>
    <t xml:space="preserve">Canal com maior lift (x vs base)</t>
  </si>
  <si>
    <t xml:space="preserve">Perfil (mediana R dias | F pedidos | cupons | presente | NPS)</t>
  </si>
  <si>
    <t xml:space="preserve">Mensagem</t>
  </si>
  <si>
    <t xml:space="preserve">Oferta</t>
  </si>
  <si>
    <t xml:space="preserve">Canal / quando</t>
  </si>
  <si>
    <t xml:space="preserve">Gatilho e KPI</t>
  </si>
  <si>
    <t xml:space="preserve">Cross-sell na venda de fibra/móvel (19%)</t>
  </si>
  <si>
    <t xml:space="preserve">Indicação (cliente Claro) (1.11x)</t>
  </si>
  <si>
    <t xml:space="preserve">R 1 | F 15.7 | cupons 1.34 | presente 0% | NPS 7.3</t>
  </si>
  <si>
    <t xml:space="preserve">"A estreia que você esperava chegou: alugue com o seu cupom."</t>
  </si>
  <si>
    <t xml:space="preserve">Pacote de 3 aluguéis com 30% off (desconto no filme, não na assinatura); convite para anual/Família.</t>
  </si>
  <si>
    <t xml:space="preserve">Push no app + resumo na fatura Claro (fatura) ou e-mail (cartão)</t>
  </si>
  <si>
    <t xml:space="preserve">Gatilho: lançamento de catálogo. KPI: aluguéis/cliente, migração para anual.</t>
  </si>
  <si>
    <t xml:space="preserve">Cross-sell na venda de fibra/móvel (20%)</t>
  </si>
  <si>
    <t xml:space="preserve">Indicação (cartão) (1.33x)</t>
  </si>
  <si>
    <t xml:space="preserve">R 1 | F 13.6 | cupons 0.00 | presente 0% | NPS 7.5</t>
  </si>
  <si>
    <t xml:space="preserve">"Obrigado por ficar: acesso antecipado às estreias do seu plano."</t>
  </si>
  <si>
    <t xml:space="preserve">Sem desconto. Preço travado no plano anual ou benefício não monetário (estreia antecipada).</t>
  </si>
  <si>
    <t xml:space="preserve">E-mail + app; nunca cupom (evita treinar o cliente a esperar desconto)</t>
  </si>
  <si>
    <t xml:space="preserve">Gatilho: 6º ciclo. KPI: % anual, churn 90d.</t>
  </si>
  <si>
    <t xml:space="preserve">Cross-sell na venda de fibra/móvel (18%)</t>
  </si>
  <si>
    <t xml:space="preserve">Indicação (cartão) (1.15x)</t>
  </si>
  <si>
    <t xml:space="preserve">R 6 | F 9.5 | cupons 0.25 | presente 0% | NPS 5.4</t>
  </si>
  <si>
    <t xml:space="preserve">"Faz uns dias que você não aparece: veja o que entrou no seu plano."</t>
  </si>
  <si>
    <t xml:space="preserve">Crédito de aluguel de R$ 15 ou 1 canal extra por 1 mês (custo menor que desconto na mensalidade); contato ativo para Família.</t>
  </si>
  <si>
    <t xml:space="preserve">WhatsApp/Minha Claro (fatura) ou e-mail+WhatsApp (cartão); ligação só para Família</t>
  </si>
  <si>
    <t xml:space="preserve">Gatilho: recência &gt;=5 dias com queda de frequência. KPI: salvamento, margem líquida.</t>
  </si>
  <si>
    <t xml:space="preserve">Cross-sell na venda de fibra/móvel (15%)</t>
  </si>
  <si>
    <t xml:space="preserve">App stores (orgânico) (1.19x)</t>
  </si>
  <si>
    <t xml:space="preserve">R 1 | F 3.0 | cupons 0.30 | presente 0% | NPS 7.5</t>
  </si>
  <si>
    <t xml:space="preserve">"Seus 3 primeiros títulos para começar" + guia de ativação no seu aparelho.</t>
  </si>
  <si>
    <t xml:space="preserve">1º aluguel grátis; aviso do fim da promo no 45º dia com migração para anual.</t>
  </si>
  <si>
    <t xml:space="preserve">Push + WhatsApp (fatura) ou e-mail (cartão)</t>
  </si>
  <si>
    <t xml:space="preserve">Gatilho: D0, D7, D45. KPI: ativação D7, churn ciclos 2-3.</t>
  </si>
  <si>
    <t xml:space="preserve">Indicação (cliente Claro) (1.21x)</t>
  </si>
  <si>
    <t xml:space="preserve">R 2 | F 7.0 | cupons 0.46 | presente 100% | NPS 5.5</t>
  </si>
  <si>
    <t xml:space="preserve">"Gostou? Continue com a sua própria assinatura" (e-mail do 3º mês, ver Tarefa 2).</t>
  </si>
  <si>
    <t xml:space="preserve">1º mês próprio com 40% off, sem fidelidade; opção de migrar a cobrança para a fatura Claro.</t>
  </si>
  <si>
    <t xml:space="preserve">E-mail + SMS no 3º mês (e lembrete em D80)</t>
  </si>
  <si>
    <t xml:space="preserve">Gatilho: 3º mês do presente. KPI: conversão para assinatura própria.</t>
  </si>
  <si>
    <t xml:space="preserve">Google Ads (15%)</t>
  </si>
  <si>
    <t xml:space="preserve">Afiliados/CPA (1.73x)</t>
  </si>
  <si>
    <t xml:space="preserve">R 5 | F 2.0 | cupons 0.45 | presente 0% | NPS 5.0</t>
  </si>
  <si>
    <t xml:space="preserve">"Sentimos sua falta" (mensagem curta, uma única vez).</t>
  </si>
  <si>
    <t xml:space="preserve">Sem desconto de entrada; oferecer pausa da assinatura ou downgrade de plano no fluxo de cancelamento.</t>
  </si>
  <si>
    <t xml:space="preserve">E-mail/SMS automatizado (custo baixo); revisar públicos de mídia paga que originam este grupo</t>
  </si>
  <si>
    <t xml:space="preserve">Gatilho: recência &gt;30 dias. KPI: reativação, custo por reativado.</t>
  </si>
  <si>
    <t xml:space="preserve">Canal mais comum reflete o tamanho do canal (cross-sell é o maior); use a coluna de lift para ver onde o grupo está sobre-representado.</t>
  </si>
  <si>
    <t xml:space="preserve">Exploração da base (1,92 mi assinaturas, 24 meses)</t>
  </si>
  <si>
    <t xml:space="preserve">Pedidos por assinatura (ciclos + aluguéis + compras)</t>
  </si>
  <si>
    <t xml:space="preserve">Estatística</t>
  </si>
  <si>
    <t xml:space="preserve">Valor</t>
  </si>
  <si>
    <t xml:space="preserve">count</t>
  </si>
  <si>
    <t xml:space="preserve">mean</t>
  </si>
  <si>
    <t xml:space="preserve">std</t>
  </si>
  <si>
    <t xml:space="preserve">min</t>
  </si>
  <si>
    <t xml:space="preserve">10%</t>
  </si>
  <si>
    <t xml:space="preserve">25%</t>
  </si>
  <si>
    <t xml:space="preserve">50%</t>
  </si>
  <si>
    <t xml:space="preserve">75%</t>
  </si>
  <si>
    <t xml:space="preserve">90%</t>
  </si>
  <si>
    <t xml:space="preserve">99%</t>
  </si>
  <si>
    <t xml:space="preserve">max</t>
  </si>
  <si>
    <t xml:space="preserve">Receita acumulada por assinatura (R$)</t>
  </si>
  <si>
    <t xml:space="preserve">Recência (dias sem acesso)</t>
  </si>
  <si>
    <t xml:space="preserve">Cupons por assinatura (entrada + aluguel)</t>
  </si>
  <si>
    <t xml:space="preserve">NPS (0-10)</t>
  </si>
  <si>
    <t xml:space="preserve">Proporções</t>
  </si>
  <si>
    <t xml:space="preserve">com cupom de entrada</t>
  </si>
  <si>
    <t xml:space="preserve">usou cupom em aluguel</t>
  </si>
  <si>
    <t xml:space="preserve">presente</t>
  </si>
  <si>
    <t xml:space="preserve">cancelado</t>
  </si>
  <si>
    <t xml:space="preserve">Teste de k = 3 a 7 (k-means, 6 variáveis padronizadas, amostra de 150 mil, n_init=10)</t>
  </si>
  <si>
    <t xml:space="preserve">k</t>
  </si>
  <si>
    <t xml:space="preserve">Inércia</t>
  </si>
  <si>
    <t xml:space="preserve">Silhouette (maior = melhor)</t>
  </si>
  <si>
    <t xml:space="preserve">Calinski-Harabasz (maior)</t>
  </si>
  <si>
    <t xml:space="preserve">Davies-Bouldin (menor)</t>
  </si>
  <si>
    <t xml:space="preserve">Menor grupo (% base)</t>
  </si>
  <si>
    <t xml:space="preserve">ARI médio entre 5 sementes/amostras</t>
  </si>
  <si>
    <t xml:space="preserve">ARI mínimo</t>
  </si>
  <si>
    <t xml:space="preserve">ARI k vs k+1</t>
  </si>
  <si>
    <t xml:space="preserve">Escolha: k = 6.</t>
  </si>
  <si>
    <t xml:space="preserve">• Silhouette cai com k (0,28 em k=3 para 0,22 em k=6): a estrutura é fraca/contínua, não há "ilhas" naturais; k serve para ação, não para descoberta.</t>
  </si>
  <si>
    <t xml:space="preserve">• k=3 é instável (ARI mínimo 0,43). k=4 é o mais estável (0,99), mas junta "esfriando" com "novatos". k=5 e k=6 têm estabilidade equivalente (ARI ~0,95).</t>
  </si>
  <si>
    <t xml:space="preserve">• k=6 tem Davies-Bouldin melhor que k=5 e separa dois públicos com ações diferentes: "Esfriando (alto valor)" (27% de cancelamento, 17% da receita) e "Quase perdidos" (51%, 2%).</t>
  </si>
  <si>
    <t xml:space="preserve">• k=7 perde estabilidade (ARI mínimo 0,72) e cria grupos pequenos demais para o CRM operar amanhã.</t>
  </si>
  <si>
    <t xml:space="preserve">Estabilidade do modelo final (k=6)</t>
  </si>
  <si>
    <t xml:space="preserve">Resultado</t>
  </si>
  <si>
    <t xml:space="preserve">Concordância do nome do grupo entre 5 sementes/amostras (média)</t>
  </si>
  <si>
    <t xml:space="preserve">98% dos clientes recebem o mesmo grupo ao trocar semente e amostra de treino.</t>
  </si>
  <si>
    <t xml:space="preserve">Concordância mínima</t>
  </si>
  <si>
    <t xml:space="preserve">Pior caso entre as 5 sementes.</t>
  </si>
  <si>
    <t xml:space="preserve">ARI médio entre rodadas</t>
  </si>
  <si>
    <t xml:space="preserve">Muito estável a semente.</t>
  </si>
  <si>
    <t xml:space="preserve">ARI ao remover NPS</t>
  </si>
  <si>
    <t xml:space="preserve">Os grupos mudam bastante sem NPS: dependem dele. Na vida real só há NPS para respondentes.</t>
  </si>
  <si>
    <t xml:space="preserve">ARI ao remover presente</t>
  </si>
  <si>
    <t xml:space="preserve">Mudam moderadamente sem a variável presente.</t>
  </si>
  <si>
    <t xml:space="preserve">ARI k=5 vs k=6 / k=6 vs k=7</t>
  </si>
  <si>
    <t xml:space="preserve">0,69 e 0,76: ao mudar k, parte dos grupos se divide em vez de se reembaralhar.</t>
  </si>
  <si>
    <t xml:space="preserve">Taxa de cancelamento por canal de aquisição (24 meses, 1,92 mi assinaturas)</t>
  </si>
  <si>
    <t xml:space="preserve">% cancelados acumulado depende da idade da safra; churn mensal = cancelados / ciclos cobrados corrige a exposição.</t>
  </si>
  <si>
    <t xml:space="preserve">Aquisição</t>
  </si>
  <si>
    <t xml:space="preserve">Origem</t>
  </si>
  <si>
    <t xml:space="preserve">Canal</t>
  </si>
  <si>
    <t xml:space="preserve">Assinaturas</t>
  </si>
  <si>
    <t xml:space="preserve">Cancelados</t>
  </si>
  <si>
    <t xml:space="preserve">Ciclos cobrados</t>
  </si>
  <si>
    <t xml:space="preserve">% cancelados (acumulado)</t>
  </si>
  <si>
    <t xml:space="preserve">Churn mensal (cancel./ciclo)</t>
  </si>
  <si>
    <t xml:space="preserve">Mídia paga</t>
  </si>
  <si>
    <t xml:space="preserve">Internet (cartão)</t>
  </si>
  <si>
    <t xml:space="preserve">Afiliados/CPA</t>
  </si>
  <si>
    <t xml:space="preserve">Programática/Display</t>
  </si>
  <si>
    <t xml:space="preserve">Meta Ads</t>
  </si>
  <si>
    <t xml:space="preserve">Telecom Claro (fatura)</t>
  </si>
  <si>
    <t xml:space="preserve">Google Ads</t>
  </si>
  <si>
    <t xml:space="preserve">Orgânico</t>
  </si>
  <si>
    <t xml:space="preserve">App stores (orgânico)</t>
  </si>
  <si>
    <t xml:space="preserve">Site/SEO direto</t>
  </si>
  <si>
    <t xml:space="preserve">CRM e-mail (base interessada)</t>
  </si>
  <si>
    <t xml:space="preserve">Televendas/Lojas Claro</t>
  </si>
  <si>
    <t xml:space="preserve">CRM Claro (push/WhatsApp)</t>
  </si>
  <si>
    <t xml:space="preserve">Indicação (cartão)</t>
  </si>
  <si>
    <t xml:space="preserve">Oferta na fatura/app Minha Claro</t>
  </si>
  <si>
    <t xml:space="preserve">Cross-sell na venda de fibra/móvel</t>
  </si>
  <si>
    <t xml:space="preserve">Indicação (cliente Claro)</t>
  </si>
  <si>
    <t xml:space="preserve">Resumo por origem x aquisição</t>
  </si>
  <si>
    <t xml:space="preserve">Ciclos</t>
  </si>
  <si>
    <t xml:space="preserve">% cancelados</t>
  </si>
  <si>
    <t xml:space="preserve">Churn mensal</t>
  </si>
  <si>
    <t xml:space="preserve">Concentração de receita</t>
  </si>
  <si>
    <t xml:space="preserve">Base</t>
  </si>
  <si>
    <t xml:space="preserve">Top 1%</t>
  </si>
  <si>
    <t xml:space="preserve">Top 10%</t>
  </si>
  <si>
    <t xml:space="preserve">Top 20%</t>
  </si>
  <si>
    <t xml:space="preserve">Top 50%</t>
  </si>
  <si>
    <t xml:space="preserve">Todas as 1,92 mi assinaturas (receita acumulada em 24m)</t>
  </si>
  <si>
    <t xml:space="preserve">Base ativa em 26/07/2026 (valor pago até a data)</t>
  </si>
  <si>
    <t xml:space="preserve">Leitura: os 20% melhores clientes geram 59% da receita acumulada (todas as assinaturas, incluindo canceladas) e 48% na base ativa; é concentração moderada, menor que Pareto 80/20, porque o preço é por plano e a receita varia sobretudo por tempo de casa e aluguéis.</t>
  </si>
  <si>
    <t xml:space="preserve">Aplicação dos mesmos centróides à base ativa em 24/10/2026 (734 mil clientes)</t>
  </si>
  <si>
    <t xml:space="preserve">Arquivo com o grupo por cliente: clientes_ativos_segmentados.csv.gz</t>
  </si>
  <si>
    <t xml:space="preserve">% clientes</t>
  </si>
  <si>
    <t xml:space="preserve">% valor</t>
  </si>
  <si>
    <t xml:space="preserve">Decisões que NÃO devem ser tomadas só com esta segmentação</t>
  </si>
  <si>
    <t xml:space="preserve">Decisão</t>
  </si>
  <si>
    <t xml:space="preserve">Dar/retirar desconto por grupo sem teste A/B com controle</t>
  </si>
  <si>
    <t xml:space="preserve">O grupo descreve correlação. Cinéfilos de cupom e Fiéis a preço cheio têm churn parecido; desconto pode só canibalizar margem.</t>
  </si>
  <si>
    <t xml:space="preserve">Reajustar preço ou mudar planos</t>
  </si>
  <si>
    <t xml:space="preserve">O agrupamento não mede elasticidade de preço.</t>
  </si>
  <si>
    <t xml:space="preserve">Cortar ou ampliar canais/mídia paga</t>
  </si>
  <si>
    <t xml:space="preserve">Lift dos canais por grupo é baixo (1,1x a 1,7x). Decisão de mídia deve usar LTV/CAC e incrementalidade.</t>
  </si>
  <si>
    <t xml:space="preserve">Abandonar o atendimento dos "Quase perdidos"</t>
  </si>
  <si>
    <t xml:space="preserve">Valor baixo hoje não implica valor baixo amanhã; teste ações baratas antes de descartar.</t>
  </si>
  <si>
    <t xml:space="preserve">Confiar no NPS como se existisse para toda a base</t>
  </si>
  <si>
    <t xml:space="preserve">Aqui o NPS é sintético para todos; na vida real só há respondentes (tipicamente 10% a 25%) e sem NPS os grupos mudam (ARI 0,63).</t>
  </si>
  <si>
    <t xml:space="preserve">Assumir que presente existe como produto/fluxo</t>
  </si>
  <si>
    <t xml:space="preserve">"Presente" é hipótese de negócio sintética; confirmar se o produto existe e como é registrado.</t>
  </si>
  <si>
    <t xml:space="preserve">Interpretar a taxa de cancelamento por grupo como causal</t>
  </si>
  <si>
    <t xml:space="preserve">Backtest com features medidas até o cancelamento (vazamento leve); a separação real pode ser menor.</t>
  </si>
  <si>
    <t xml:space="preserve">Usar para cobrança, crédito ou negar serviço</t>
  </si>
  <si>
    <t xml:space="preserve">Uso de dados para marketing exige base legal/consentimento (LGPD); não é critério de crédito.</t>
  </si>
  <si>
    <t xml:space="preserve">Congelar os grupos</t>
  </si>
  <si>
    <t xml:space="preserve">Re-treinar a cada trimestre; novos preços, catálogo e sazonalidade (dez/jan) deslocam os centróides.</t>
  </si>
  <si>
    <t xml:space="preserve">Tirar conclusões de dados sintéticos</t>
  </si>
  <si>
    <t xml:space="preserve">Os números mostram o método e a ordem de grandeza; recalibrar com a base real antes de investir.</t>
  </si>
  <si>
    <t xml:space="preserve">Dados de apoio: grupo x plano (alimenta o filtro)</t>
  </si>
  <si>
    <t xml:space="preserve">Base ativa em 26/07/2026 (clusters) e base ativa em 24/10/2026 (aplicação). Plano NÃO entra no k-means; é só filtro.</t>
  </si>
  <si>
    <t xml:space="preserve">Clientes (26/07)</t>
  </si>
  <si>
    <t xml:space="preserve">Cancelamentos em 90 dias</t>
  </si>
  <si>
    <t xml:space="preserve">Cupons (soma)</t>
  </si>
  <si>
    <t xml:space="preserve">Clientes ativos hoje (24/10)</t>
  </si>
  <si>
    <t xml:space="preserve">Valor pago hoje (R$)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</si>
</sst>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0"/>
    <numFmt numFmtId="168" formatCode="0.0"/>
    <numFmt numFmtId="169" formatCode="0%"/>
    <numFmt numFmtId="170" formatCode="#,##0.00"/>
    <numFmt numFmtId="171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clientes vs % da receita (plano selecionado)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'Filtro por plano'!C6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'Filtro por plano'!$A$7:$A$12</c:f>
              <c:strCache>
                <c:ptCount val="6"/>
                <c:pt idx="0">
                  <c:v>Cinéfilos de cupom</c:v>
                </c:pt>
                <c:pt idx="1">
                  <c:v>Fiéis a preço cheio</c:v>
                </c:pt>
                <c:pt idx="2">
                  <c:v>Esfriando (alto valor)</c:v>
                </c:pt>
                <c:pt idx="3">
                  <c:v>Novatos em experimentação</c:v>
                </c:pt>
                <c:pt idx="4">
                  <c:v>Presenteados</c:v>
                </c:pt>
                <c:pt idx="5">
                  <c:v>Quase perdidos</c:v>
                </c:pt>
              </c:strCache>
            </c:strRef>
          </c:cat>
          <c:val>
            <c:numRef>
              <c:f>'Filtro por plano'!$C$7:$C$12</c:f>
              <c:numCache>
                <c:formatCode>0.0%</c:formatCode>
                <c:ptCount val="6"/>
                <c:pt idx="0">
                  <c:v>0.247348258342939</c:v>
                </c:pt>
                <c:pt idx="1">
                  <c:v>0.211826178763102</c:v>
                </c:pt>
                <c:pt idx="2">
                  <c:v>0.162725153855445</c:v>
                </c:pt>
                <c:pt idx="3">
                  <c:v>0.195657004132139</c:v>
                </c:pt>
                <c:pt idx="4">
                  <c:v>0.0530572012699132</c:v>
                </c:pt>
                <c:pt idx="5">
                  <c:v>0.129386203636461</c:v>
                </c:pt>
              </c:numCache>
            </c:numRef>
          </c:val>
        </c:ser>
        <c:ser>
          <c:idx val="1"/>
          <c:order val="1"/>
          <c:tx>
            <c:strRef>
              <c:f>'Filtro por plano'!E6</c:f>
              <c:strCache>
                <c:ptCount val="1"/>
                <c:pt idx="0">
                  <c:v>% da receita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'Filtro por plano'!$A$7:$A$12</c:f>
              <c:strCache>
                <c:ptCount val="6"/>
                <c:pt idx="0">
                  <c:v>Cinéfilos de cupom</c:v>
                </c:pt>
                <c:pt idx="1">
                  <c:v>Fiéis a preço cheio</c:v>
                </c:pt>
                <c:pt idx="2">
                  <c:v>Esfriando (alto valor)</c:v>
                </c:pt>
                <c:pt idx="3">
                  <c:v>Novatos em experimentação</c:v>
                </c:pt>
                <c:pt idx="4">
                  <c:v>Presenteados</c:v>
                </c:pt>
                <c:pt idx="5">
                  <c:v>Quase perdidos</c:v>
                </c:pt>
              </c:strCache>
            </c:strRef>
          </c:cat>
          <c:val>
            <c:numRef>
              <c:f>'Filtro por plano'!$E$7:$E$12</c:f>
              <c:numCache>
                <c:formatCode>0.0%</c:formatCode>
                <c:ptCount val="6"/>
                <c:pt idx="0">
                  <c:v>0.384615926227802</c:v>
                </c:pt>
                <c:pt idx="1">
                  <c:v>0.320096799058581</c:v>
                </c:pt>
                <c:pt idx="2">
                  <c:v>0.170779604080792</c:v>
                </c:pt>
                <c:pt idx="3">
                  <c:v>0.0548568912740219</c:v>
                </c:pt>
                <c:pt idx="4">
                  <c:v>0.0481188589593017</c:v>
                </c:pt>
                <c:pt idx="5">
                  <c:v>0.0215319203995007</c:v>
                </c:pt>
              </c:numCache>
            </c:numRef>
          </c:val>
        </c:ser>
        <c:gapWidth val="150"/>
        <c:overlap val="0"/>
        <c:axId val="66698971"/>
        <c:axId val="61662899"/>
      </c:barChart>
      <c:catAx>
        <c:axId val="666989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62899"/>
        <c:crosses val="autoZero"/>
        <c:auto val="1"/>
        <c:lblAlgn val="ctr"/>
        <c:lblOffset val="100"/>
        <c:noMultiLvlLbl val="0"/>
      </c:catAx>
      <c:valAx>
        <c:axId val="61662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989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clientes vs % da receita por grupo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'Grupos e ações'!D4</c:f>
              <c:strCache>
                <c:ptCount val="1"/>
                <c:pt idx="0">
                  <c:v>% de clientes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'Grupos e ações'!$A$5:$A$10</c:f>
              <c:strCache>
                <c:ptCount val="6"/>
                <c:pt idx="0">
                  <c:v>Cinéfilos de cupom</c:v>
                </c:pt>
                <c:pt idx="1">
                  <c:v>Fiéis a preço cheio</c:v>
                </c:pt>
                <c:pt idx="2">
                  <c:v>Esfriando (alto valor)</c:v>
                </c:pt>
                <c:pt idx="3">
                  <c:v>Novatos em experimentação</c:v>
                </c:pt>
                <c:pt idx="4">
                  <c:v>Presenteados</c:v>
                </c:pt>
                <c:pt idx="5">
                  <c:v>Quase perdidos</c:v>
                </c:pt>
              </c:strCache>
            </c:strRef>
          </c:cat>
          <c:val>
            <c:numRef>
              <c:f>'Grupos e ações'!$D$5:$D$10</c:f>
              <c:numCache>
                <c:formatCode>0.0%</c:formatCode>
                <c:ptCount val="6"/>
                <c:pt idx="0">
                  <c:v>0.247348258342939</c:v>
                </c:pt>
                <c:pt idx="1">
                  <c:v>0.211826178763102</c:v>
                </c:pt>
                <c:pt idx="2">
                  <c:v>0.162725153855445</c:v>
                </c:pt>
                <c:pt idx="3">
                  <c:v>0.195657004132139</c:v>
                </c:pt>
                <c:pt idx="4">
                  <c:v>0.0530572012699132</c:v>
                </c:pt>
                <c:pt idx="5">
                  <c:v>0.129386203636461</c:v>
                </c:pt>
              </c:numCache>
            </c:numRef>
          </c:val>
        </c:ser>
        <c:ser>
          <c:idx val="1"/>
          <c:order val="1"/>
          <c:tx>
            <c:strRef>
              <c:f>'Grupos e ações'!E4</c:f>
              <c:strCache>
                <c:ptCount val="1"/>
                <c:pt idx="0">
                  <c:v>% da receita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'Grupos e ações'!$A$5:$A$10</c:f>
              <c:strCache>
                <c:ptCount val="6"/>
                <c:pt idx="0">
                  <c:v>Cinéfilos de cupom</c:v>
                </c:pt>
                <c:pt idx="1">
                  <c:v>Fiéis a preço cheio</c:v>
                </c:pt>
                <c:pt idx="2">
                  <c:v>Esfriando (alto valor)</c:v>
                </c:pt>
                <c:pt idx="3">
                  <c:v>Novatos em experimentação</c:v>
                </c:pt>
                <c:pt idx="4">
                  <c:v>Presenteados</c:v>
                </c:pt>
                <c:pt idx="5">
                  <c:v>Quase perdidos</c:v>
                </c:pt>
              </c:strCache>
            </c:strRef>
          </c:cat>
          <c:val>
            <c:numRef>
              <c:f>'Grupos e ações'!$E$5:$E$10</c:f>
              <c:numCache>
                <c:formatCode>0.0%</c:formatCode>
                <c:ptCount val="6"/>
                <c:pt idx="0">
                  <c:v>0.384615926227802</c:v>
                </c:pt>
                <c:pt idx="1">
                  <c:v>0.320096799058581</c:v>
                </c:pt>
                <c:pt idx="2">
                  <c:v>0.170779604080792</c:v>
                </c:pt>
                <c:pt idx="3">
                  <c:v>0.0548568912740219</c:v>
                </c:pt>
                <c:pt idx="4">
                  <c:v>0.0481188589593017</c:v>
                </c:pt>
                <c:pt idx="5">
                  <c:v>0.0215319203995007</c:v>
                </c:pt>
              </c:numCache>
            </c:numRef>
          </c:val>
        </c:ser>
        <c:gapWidth val="150"/>
        <c:overlap val="0"/>
        <c:axId val="51105580"/>
        <c:axId val="27953966"/>
      </c:barChart>
      <c:catAx>
        <c:axId val="511055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53966"/>
        <c:crosses val="autoZero"/>
        <c:auto val="1"/>
        <c:lblAlgn val="ctr"/>
        <c:lblOffset val="100"/>
        <c:noMultiLvlLbl val="0"/>
      </c:catAx>
      <c:valAx>
        <c:axId val="279539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055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160560</xdr:rowOff>
    </xdr:from>
    <xdr:to>
      <xdr:col>6</xdr:col>
      <xdr:colOff>166320</xdr:colOff>
      <xdr:row>30</xdr:row>
      <xdr:rowOff>161640</xdr:rowOff>
    </xdr:to>
    <xdr:graphicFrame>
      <xdr:nvGraphicFramePr>
        <xdr:cNvPr id="0" name="Chart 1"/>
        <xdr:cNvGraphicFramePr/>
      </xdr:nvGraphicFramePr>
      <xdr:xfrm>
        <a:off x="0" y="54957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160560</xdr:rowOff>
    </xdr:from>
    <xdr:to>
      <xdr:col>7</xdr:col>
      <xdr:colOff>730080</xdr:colOff>
      <xdr:row>29</xdr:row>
      <xdr:rowOff>162000</xdr:rowOff>
    </xdr:to>
    <xdr:graphicFrame>
      <xdr:nvGraphicFramePr>
        <xdr:cNvPr id="1" name="Chart 1"/>
        <xdr:cNvGraphicFramePr/>
      </xdr:nvGraphicFramePr>
      <xdr:xfrm>
        <a:off x="0" y="88488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6" customFormat="false" ht="39.7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customFormat="false" ht="48" hidden="false" customHeight="true" outlineLevel="0" collapsed="false">
      <c r="A7" s="3" t="s">
        <v>13</v>
      </c>
      <c r="B7" s="6" t="n">
        <f aca="false">SUMPRODUCT(('Dados por plano'!$B$5:$B$22=$A7)*((($B$4="Todos")+('Dados por plano'!$A$5:$A$22=$B$4))&gt;0)*'Dados por plano'!$C$5:$C$22)</f>
        <v>165871</v>
      </c>
      <c r="C7" s="7" t="n">
        <f aca="false">B7/SUM($B$7:$B$12)</f>
        <v>0.247348258342939</v>
      </c>
      <c r="D7" s="6" t="n">
        <f aca="false">SUMPRODUCT(('Dados por plano'!$B$5:$B$22=$A7)*((($B$4="Todos")+('Dados por plano'!$A$5:$A$22=$B$4))&gt;0)*'Dados por plano'!$D$5:$D$22)</f>
        <v>165148825.082999</v>
      </c>
      <c r="E7" s="7" t="n">
        <f aca="false">D7/SUM($D$7:$D$12)</f>
        <v>0.384615926227802</v>
      </c>
      <c r="F7" s="6" t="n">
        <f aca="false">IFERROR(D7/B7,0)</f>
        <v>995.646165291094</v>
      </c>
      <c r="G7" s="7" t="n">
        <f aca="false">IFERROR(SUMPRODUCT(('Dados por plano'!$B$5:$B$22=$A7)*((($B$4="Todos")+('Dados por plano'!$A$5:$A$22=$B$4))&gt;0)*'Dados por plano'!$E$5:$E$22)/B7,0)</f>
        <v>0.120756491490375</v>
      </c>
      <c r="H7" s="8" t="n">
        <f aca="false">IFERROR(SUMPRODUCT(('Dados por plano'!$B$5:$B$22=$A7)*((($B$4="Todos")+('Dados por plano'!$A$5:$A$22=$B$4))&gt;0)*'Dados por plano'!$F$5:$F$22)/B7,0)</f>
        <v>1.33959175086225</v>
      </c>
      <c r="I7" s="9" t="str">
        <f aca="false">INDEX('Grupos e ações'!$L$5:$L$10,MATCH(A7,'Grupos e ações'!$A$5:$A$10,0))</f>
        <v>Pacote de 3 aluguéis com 30% off (desconto no filme, não na assinatura); convite para anual/Família.</v>
      </c>
    </row>
    <row r="8" customFormat="false" ht="48" hidden="false" customHeight="true" outlineLevel="0" collapsed="false">
      <c r="A8" s="3" t="s">
        <v>14</v>
      </c>
      <c r="B8" s="6" t="n">
        <f aca="false">SUMPRODUCT(('Dados por plano'!$B$5:$B$22=$A8)*((($B$4="Todos")+('Dados por plano'!$A$5:$A$22=$B$4))&gt;0)*'Dados por plano'!$C$5:$C$22)</f>
        <v>142050</v>
      </c>
      <c r="C8" s="7" t="n">
        <f aca="false">B8/SUM($B$7:$B$12)</f>
        <v>0.211826178763102</v>
      </c>
      <c r="D8" s="6" t="n">
        <f aca="false">SUMPRODUCT(('Dados por plano'!$B$5:$B$22=$A8)*((($B$4="Todos")+('Dados por plano'!$A$5:$A$22=$B$4))&gt;0)*'Dados por plano'!$D$5:$D$22)</f>
        <v>137445193.171858</v>
      </c>
      <c r="E8" s="7" t="n">
        <f aca="false">D8/SUM($D$7:$D$12)</f>
        <v>0.320096799058581</v>
      </c>
      <c r="F8" s="6" t="n">
        <f aca="false">IFERROR(D8/B8,0)</f>
        <v>967.583197267571</v>
      </c>
      <c r="G8" s="7" t="n">
        <f aca="false">IFERROR(SUMPRODUCT(('Dados por plano'!$B$5:$B$22=$A8)*((($B$4="Todos")+('Dados por plano'!$A$5:$A$22=$B$4))&gt;0)*'Dados por plano'!$E$5:$E$22)/B8,0)</f>
        <v>0.102154171066526</v>
      </c>
      <c r="H8" s="8" t="n">
        <f aca="false">IFERROR(SUMPRODUCT(('Dados por plano'!$B$5:$B$22=$A8)*((($B$4="Todos")+('Dados por plano'!$A$5:$A$22=$B$4))&gt;0)*'Dados por plano'!$F$5:$F$22)/B8,0)</f>
        <v>0.000249032030975009</v>
      </c>
      <c r="I8" s="9" t="str">
        <f aca="false">INDEX('Grupos e ações'!$L$5:$L$10,MATCH(A8,'Grupos e ações'!$A$5:$A$10,0))</f>
        <v>Sem desconto. Preço travado no plano anual ou benefício não monetário (estreia antecipada).</v>
      </c>
    </row>
    <row r="9" customFormat="false" ht="48" hidden="false" customHeight="true" outlineLevel="0" collapsed="false">
      <c r="A9" s="3" t="s">
        <v>15</v>
      </c>
      <c r="B9" s="6" t="n">
        <f aca="false">SUMPRODUCT(('Dados por plano'!$B$5:$B$22=$A9)*((($B$4="Todos")+('Dados por plano'!$A$5:$A$22=$B$4))&gt;0)*'Dados por plano'!$C$5:$C$22)</f>
        <v>109123</v>
      </c>
      <c r="C9" s="7" t="n">
        <f aca="false">B9/SUM($B$7:$B$12)</f>
        <v>0.162725153855445</v>
      </c>
      <c r="D9" s="6" t="n">
        <f aca="false">SUMPRODUCT(('Dados por plano'!$B$5:$B$22=$A9)*((($B$4="Todos")+('Dados por plano'!$A$5:$A$22=$B$4))&gt;0)*'Dados por plano'!$D$5:$D$22)</f>
        <v>73330429.2380698</v>
      </c>
      <c r="E9" s="7" t="n">
        <f aca="false">D9/SUM($D$7:$D$12)</f>
        <v>0.170779604080792</v>
      </c>
      <c r="F9" s="6" t="n">
        <f aca="false">IFERROR(D9/B9,0)</f>
        <v>671.997921960263</v>
      </c>
      <c r="G9" s="7" t="n">
        <f aca="false">IFERROR(SUMPRODUCT(('Dados por plano'!$B$5:$B$22=$A9)*((($B$4="Todos")+('Dados por plano'!$A$5:$A$22=$B$4))&gt;0)*'Dados por plano'!$E$5:$E$22)/B9,0)</f>
        <v>0.274066878659861</v>
      </c>
      <c r="H9" s="8" t="n">
        <f aca="false">IFERROR(SUMPRODUCT(('Dados por plano'!$B$5:$B$22=$A9)*((($B$4="Todos")+('Dados por plano'!$A$5:$A$22=$B$4))&gt;0)*'Dados por plano'!$F$5:$F$22)/B9,0)</f>
        <v>0.25236406216813</v>
      </c>
      <c r="I9" s="9" t="str">
        <f aca="false">INDEX('Grupos e ações'!$L$5:$L$10,MATCH(A9,'Grupos e ações'!$A$5:$A$10,0))</f>
        <v>Crédito de aluguel de R$ 15 ou 1 canal extra por 1 mês (custo menor que desconto na mensalidade); contato ativo para Família.</v>
      </c>
    </row>
    <row r="10" customFormat="false" ht="48" hidden="false" customHeight="true" outlineLevel="0" collapsed="false">
      <c r="A10" s="3" t="s">
        <v>16</v>
      </c>
      <c r="B10" s="6" t="n">
        <f aca="false">SUMPRODUCT(('Dados por plano'!$B$5:$B$22=$A10)*((($B$4="Todos")+('Dados por plano'!$A$5:$A$22=$B$4))&gt;0)*'Dados por plano'!$C$5:$C$22)</f>
        <v>131207</v>
      </c>
      <c r="C10" s="7" t="n">
        <f aca="false">B10/SUM($B$7:$B$12)</f>
        <v>0.195657004132139</v>
      </c>
      <c r="D10" s="6" t="n">
        <f aca="false">SUMPRODUCT(('Dados por plano'!$B$5:$B$22=$A10)*((($B$4="Todos")+('Dados por plano'!$A$5:$A$22=$B$4))&gt;0)*'Dados por plano'!$D$5:$D$22)</f>
        <v>23554799.7985</v>
      </c>
      <c r="E10" s="7" t="n">
        <f aca="false">D10/SUM($D$7:$D$12)</f>
        <v>0.0548568912740219</v>
      </c>
      <c r="F10" s="6" t="n">
        <f aca="false">IFERROR(D10/B10,0)</f>
        <v>179.523956789653</v>
      </c>
      <c r="G10" s="7" t="n">
        <f aca="false">IFERROR(SUMPRODUCT(('Dados por plano'!$B$5:$B$22=$A10)*((($B$4="Todos")+('Dados por plano'!$A$5:$A$22=$B$4))&gt;0)*'Dados por plano'!$E$5:$E$22)/B10,0)</f>
        <v>0.195408781543668</v>
      </c>
      <c r="H10" s="8" t="n">
        <f aca="false">IFERROR(SUMPRODUCT(('Dados por plano'!$B$5:$B$22=$A10)*((($B$4="Todos")+('Dados por plano'!$A$5:$A$22=$B$4))&gt;0)*'Dados por plano'!$F$5:$F$22)/B10,0)</f>
        <v>0.303045629703506</v>
      </c>
      <c r="I10" s="9" t="str">
        <f aca="false">INDEX('Grupos e ações'!$L$5:$L$10,MATCH(A10,'Grupos e ações'!$A$5:$A$10,0))</f>
        <v>1º aluguel grátis; aviso do fim da promo no 45º dia com migração para anual.</v>
      </c>
    </row>
    <row r="11" customFormat="false" ht="48" hidden="false" customHeight="true" outlineLevel="0" collapsed="false">
      <c r="A11" s="3" t="s">
        <v>17</v>
      </c>
      <c r="B11" s="6" t="n">
        <f aca="false">SUMPRODUCT(('Dados por plano'!$B$5:$B$22=$A11)*((($B$4="Todos")+('Dados por plano'!$A$5:$A$22=$B$4))&gt;0)*'Dados por plano'!$C$5:$C$22)</f>
        <v>35580</v>
      </c>
      <c r="C11" s="7" t="n">
        <f aca="false">B11/SUM($B$7:$B$12)</f>
        <v>0.0530572012699132</v>
      </c>
      <c r="D11" s="6" t="n">
        <f aca="false">SUMPRODUCT(('Dados por plano'!$B$5:$B$22=$A11)*((($B$4="Todos")+('Dados por plano'!$A$5:$A$22=$B$4))&gt;0)*'Dados por plano'!$D$5:$D$22)</f>
        <v>20661580.7603257</v>
      </c>
      <c r="E11" s="7" t="n">
        <f aca="false">D11/SUM($D$7:$D$12)</f>
        <v>0.0481188589593017</v>
      </c>
      <c r="F11" s="6" t="n">
        <f aca="false">IFERROR(D11/B11,0)</f>
        <v>580.707722325062</v>
      </c>
      <c r="G11" s="7" t="n">
        <f aca="false">IFERROR(SUMPRODUCT(('Dados por plano'!$B$5:$B$22=$A11)*((($B$4="Todos")+('Dados por plano'!$A$5:$A$22=$B$4))&gt;0)*'Dados por plano'!$E$5:$E$22)/B11,0)</f>
        <v>0.290415964024733</v>
      </c>
      <c r="H11" s="8" t="n">
        <f aca="false">IFERROR(SUMPRODUCT(('Dados por plano'!$B$5:$B$22=$A11)*((($B$4="Todos")+('Dados por plano'!$A$5:$A$22=$B$4))&gt;0)*'Dados por plano'!$F$5:$F$22)/B11,0)</f>
        <v>0.463044688004108</v>
      </c>
      <c r="I11" s="9" t="str">
        <f aca="false">INDEX('Grupos e ações'!$L$5:$L$10,MATCH(A11,'Grupos e ações'!$A$5:$A$10,0))</f>
        <v>1º mês próprio com 40% off, sem fidelidade; opção de migrar a cobrança para a fatura Claro.</v>
      </c>
    </row>
    <row r="12" customFormat="false" ht="48" hidden="false" customHeight="true" outlineLevel="0" collapsed="false">
      <c r="A12" s="3" t="s">
        <v>18</v>
      </c>
      <c r="B12" s="6" t="n">
        <f aca="false">SUMPRODUCT(('Dados por plano'!$B$5:$B$22=$A12)*((($B$4="Todos")+('Dados por plano'!$A$5:$A$22=$B$4))&gt;0)*'Dados por plano'!$C$5:$C$22)</f>
        <v>86766</v>
      </c>
      <c r="C12" s="7" t="n">
        <f aca="false">B12/SUM($B$7:$B$12)</f>
        <v>0.129386203636461</v>
      </c>
      <c r="D12" s="6" t="n">
        <f aca="false">SUMPRODUCT(('Dados por plano'!$B$5:$B$22=$A12)*((($B$4="Todos")+('Dados por plano'!$A$5:$A$22=$B$4))&gt;0)*'Dados por plano'!$D$5:$D$22)</f>
        <v>9245512.50551191</v>
      </c>
      <c r="E12" s="7" t="n">
        <f aca="false">D12/SUM($D$7:$D$12)</f>
        <v>0.0215319203995007</v>
      </c>
      <c r="F12" s="6" t="n">
        <f aca="false">IFERROR(D12/B12,0)</f>
        <v>106.556859893413</v>
      </c>
      <c r="G12" s="7" t="n">
        <f aca="false">IFERROR(SUMPRODUCT(('Dados por plano'!$B$5:$B$22=$A12)*((($B$4="Todos")+('Dados por plano'!$A$5:$A$22=$B$4))&gt;0)*'Dados por plano'!$E$5:$E$22)/B12,0)</f>
        <v>0.508148353041514</v>
      </c>
      <c r="H12" s="8" t="n">
        <f aca="false">IFERROR(SUMPRODUCT(('Dados por plano'!$B$5:$B$22=$A12)*((($B$4="Todos")+('Dados por plano'!$A$5:$A$22=$B$4))&gt;0)*'Dados por plano'!$F$5:$F$22)/B12,0)</f>
        <v>0.446793935632017</v>
      </c>
      <c r="I12" s="9" t="str">
        <f aca="false">INDEX('Grupos e ações'!$L$5:$L$10,MATCH(A12,'Grupos e ações'!$A$5:$A$10,0))</f>
        <v>Sem desconto de entrada; oferecer pausa da assinatura ou downgrade de plano no fluxo de cancelamento.</v>
      </c>
    </row>
    <row r="13" customFormat="false" ht="15" hidden="false" customHeight="false" outlineLevel="0" collapsed="false">
      <c r="A13" s="3" t="s">
        <v>19</v>
      </c>
      <c r="B13" s="10" t="n">
        <f aca="false">SUM(B7:B12)</f>
        <v>670597</v>
      </c>
      <c r="C13" s="11" t="n">
        <f aca="false">SUM(C7:C12)</f>
        <v>1</v>
      </c>
      <c r="D13" s="10" t="n">
        <f aca="false">SUM(D7:D12)</f>
        <v>429386340.557265</v>
      </c>
      <c r="E13" s="11" t="n">
        <f aca="false">SUM(E7:E12)</f>
        <v>1</v>
      </c>
      <c r="F13" s="10" t="n">
        <f aca="false">D13/B13</f>
        <v>640.304595095512</v>
      </c>
      <c r="G13" s="11" t="n">
        <f aca="false">SUMPRODUCT(B7:B12,G7:G12)/B13</f>
        <v>0.215494551869454</v>
      </c>
    </row>
    <row r="36" customFormat="false" ht="15" hidden="false" customHeight="false" outlineLevel="0" collapsed="false">
      <c r="A36" s="3" t="s">
        <v>20</v>
      </c>
    </row>
    <row r="37" customFormat="false" ht="39.75" hidden="false" customHeight="true" outlineLevel="0" collapsed="false">
      <c r="A37" s="5" t="s">
        <v>4</v>
      </c>
      <c r="B37" s="5" t="s">
        <v>3</v>
      </c>
      <c r="C37" s="5" t="s">
        <v>21</v>
      </c>
      <c r="D37" s="5" t="s">
        <v>22</v>
      </c>
      <c r="E37" s="5" t="s">
        <v>23</v>
      </c>
      <c r="F37" s="5" t="s">
        <v>24</v>
      </c>
      <c r="G37" s="5" t="s">
        <v>25</v>
      </c>
      <c r="H37" s="5" t="s">
        <v>26</v>
      </c>
    </row>
    <row r="38" customFormat="false" ht="15" hidden="false" customHeight="false" outlineLevel="0" collapsed="false">
      <c r="A38" s="3" t="s">
        <v>13</v>
      </c>
      <c r="B38" s="7" t="n">
        <f aca="false">SUMIFS('Dados por plano'!$C$5:$C$22,'Dados por plano'!$B$5:$B$22,$A38)/SUM('Dados por plano'!$C$5:$C$22)</f>
        <v>0.247348258342939</v>
      </c>
      <c r="C38" s="7" t="n">
        <f aca="false">SUMIFS('Dados por plano'!$C$5:$C$22,'Dados por plano'!$B$5:$B$22,$A38,'Dados por plano'!$A$5:$A$22,"Premiere Futebol")/SUMIFS('Dados por plano'!$C$5:$C$22,'Dados por plano'!$A$5:$A$22,"Premiere Futebol")</f>
        <v>0.242980414969944</v>
      </c>
      <c r="D38" s="7" t="n">
        <f aca="false">SUMIFS('Dados por plano'!$C$5:$C$22,'Dados por plano'!$B$5:$B$22,$A38,'Dados por plano'!$A$5:$A$22,"Telecine")/SUMIFS('Dados por plano'!$C$5:$C$22,'Dados por plano'!$A$5:$A$22,"Telecine")</f>
        <v>0.210004287732042</v>
      </c>
      <c r="E38" s="7" t="n">
        <f aca="false">SUMIFS('Dados por plano'!$C$5:$C$22,'Dados por plano'!$B$5:$B$22,$A38,'Dados por plano'!$A$5:$A$22,"Plano Família Claro tv+")/SUMIFS('Dados por plano'!$C$5:$C$22,'Dados por plano'!$A$5:$A$22,"Plano Família Claro tv+")</f>
        <v>0.269667184561289</v>
      </c>
      <c r="F38" s="12" t="n">
        <f aca="false">(C38-$B38)*100</f>
        <v>-0.436784337299542</v>
      </c>
      <c r="G38" s="12" t="n">
        <f aca="false">(D38-$B38)*100</f>
        <v>-3.73439706108972</v>
      </c>
      <c r="H38" s="12" t="n">
        <f aca="false">(E38-$B38)*100</f>
        <v>2.23189262183496</v>
      </c>
    </row>
    <row r="39" customFormat="false" ht="15" hidden="false" customHeight="false" outlineLevel="0" collapsed="false">
      <c r="A39" s="3" t="s">
        <v>14</v>
      </c>
      <c r="B39" s="7" t="n">
        <f aca="false">SUMIFS('Dados por plano'!$C$5:$C$22,'Dados por plano'!$B$5:$B$22,$A39)/SUM('Dados por plano'!$C$5:$C$22)</f>
        <v>0.211826178763102</v>
      </c>
      <c r="C39" s="7" t="n">
        <f aca="false">SUMIFS('Dados por plano'!$C$5:$C$22,'Dados por plano'!$B$5:$B$22,$A39,'Dados por plano'!$A$5:$A$22,"Premiere Futebol")/SUMIFS('Dados por plano'!$C$5:$C$22,'Dados por plano'!$A$5:$A$22,"Premiere Futebol")</f>
        <v>0.193838471979833</v>
      </c>
      <c r="D39" s="7" t="n">
        <f aca="false">SUMIFS('Dados por plano'!$C$5:$C$22,'Dados por plano'!$B$5:$B$22,$A39,'Dados por plano'!$A$5:$A$22,"Telecine")/SUMIFS('Dados por plano'!$C$5:$C$22,'Dados por plano'!$A$5:$A$22,"Telecine")</f>
        <v>0.156426553672316</v>
      </c>
      <c r="E39" s="7" t="n">
        <f aca="false">SUMIFS('Dados por plano'!$C$5:$C$22,'Dados por plano'!$B$5:$B$22,$A39,'Dados por plano'!$A$5:$A$22,"Plano Família Claro tv+")/SUMIFS('Dados por plano'!$C$5:$C$22,'Dados por plano'!$A$5:$A$22,"Plano Família Claro tv+")</f>
        <v>0.25270095674217</v>
      </c>
      <c r="F39" s="12" t="n">
        <f aca="false">(C39-$B39)*100</f>
        <v>-1.79877067832689</v>
      </c>
      <c r="G39" s="12" t="n">
        <f aca="false">(D39-$B39)*100</f>
        <v>-5.53996250907858</v>
      </c>
      <c r="H39" s="12" t="n">
        <f aca="false">(E39-$B39)*100</f>
        <v>4.08747779790681</v>
      </c>
    </row>
    <row r="40" customFormat="false" ht="15" hidden="false" customHeight="false" outlineLevel="0" collapsed="false">
      <c r="A40" s="3" t="s">
        <v>15</v>
      </c>
      <c r="B40" s="7" t="n">
        <f aca="false">SUMIFS('Dados por plano'!$C$5:$C$22,'Dados por plano'!$B$5:$B$22,$A40)/SUM('Dados por plano'!$C$5:$C$22)</f>
        <v>0.162725153855445</v>
      </c>
      <c r="C40" s="7" t="n">
        <f aca="false">SUMIFS('Dados por plano'!$C$5:$C$22,'Dados por plano'!$B$5:$B$22,$A40,'Dados por plano'!$A$5:$A$22,"Premiere Futebol")/SUMIFS('Dados por plano'!$C$5:$C$22,'Dados por plano'!$A$5:$A$22,"Premiere Futebol")</f>
        <v>0.181122745782432</v>
      </c>
      <c r="D40" s="7" t="n">
        <f aca="false">SUMIFS('Dados por plano'!$C$5:$C$22,'Dados por plano'!$B$5:$B$22,$A40,'Dados por plano'!$A$5:$A$22,"Telecine")/SUMIFS('Dados por plano'!$C$5:$C$22,'Dados por plano'!$A$5:$A$22,"Telecine")</f>
        <v>0.178161571832123</v>
      </c>
      <c r="E40" s="7" t="n">
        <f aca="false">SUMIFS('Dados por plano'!$C$5:$C$22,'Dados por plano'!$B$5:$B$22,$A40,'Dados por plano'!$A$5:$A$22,"Plano Família Claro tv+")/SUMIFS('Dados por plano'!$C$5:$C$22,'Dados por plano'!$A$5:$A$22,"Plano Família Claro tv+")</f>
        <v>0.142304358492109</v>
      </c>
      <c r="F40" s="12" t="n">
        <f aca="false">(C40-$B40)*100</f>
        <v>1.83975919269864</v>
      </c>
      <c r="G40" s="12" t="n">
        <f aca="false">(D40-$B40)*100</f>
        <v>1.54364179766774</v>
      </c>
      <c r="H40" s="12" t="n">
        <f aca="false">(E40-$B40)*100</f>
        <v>-2.04207953633363</v>
      </c>
    </row>
    <row r="41" customFormat="false" ht="15" hidden="false" customHeight="false" outlineLevel="0" collapsed="false">
      <c r="A41" s="3" t="s">
        <v>16</v>
      </c>
      <c r="B41" s="7" t="n">
        <f aca="false">SUMIFS('Dados por plano'!$C$5:$C$22,'Dados por plano'!$B$5:$B$22,$A41)/SUM('Dados por plano'!$C$5:$C$22)</f>
        <v>0.195657004132139</v>
      </c>
      <c r="C41" s="7" t="n">
        <f aca="false">SUMIFS('Dados por plano'!$C$5:$C$22,'Dados por plano'!$B$5:$B$22,$A41,'Dados por plano'!$A$5:$A$22,"Premiere Futebol")/SUMIFS('Dados por plano'!$C$5:$C$22,'Dados por plano'!$A$5:$A$22,"Premiere Futebol")</f>
        <v>0.193285825092108</v>
      </c>
      <c r="D41" s="7" t="n">
        <f aca="false">SUMIFS('Dados por plano'!$C$5:$C$22,'Dados por plano'!$B$5:$B$22,$A41,'Dados por plano'!$A$5:$A$22,"Telecine")/SUMIFS('Dados por plano'!$C$5:$C$22,'Dados por plano'!$A$5:$A$22,"Telecine")</f>
        <v>0.219040052461663</v>
      </c>
      <c r="E41" s="7" t="n">
        <f aca="false">SUMIFS('Dados por plano'!$C$5:$C$22,'Dados por plano'!$B$5:$B$22,$A41,'Dados por plano'!$A$5:$A$22,"Plano Família Claro tv+")/SUMIFS('Dados por plano'!$C$5:$C$22,'Dados por plano'!$A$5:$A$22,"Plano Família Claro tv+")</f>
        <v>0.185127156758525</v>
      </c>
      <c r="F41" s="12" t="n">
        <f aca="false">(C41-$B41)*100</f>
        <v>-0.237117904003115</v>
      </c>
      <c r="G41" s="12" t="n">
        <f aca="false">(D41-$B41)*100</f>
        <v>2.33830483295237</v>
      </c>
      <c r="H41" s="12" t="n">
        <f aca="false">(E41-$B41)*100</f>
        <v>-1.05298473736142</v>
      </c>
    </row>
    <row r="42" customFormat="false" ht="15" hidden="false" customHeight="false" outlineLevel="0" collapsed="false">
      <c r="A42" s="3" t="s">
        <v>17</v>
      </c>
      <c r="B42" s="7" t="n">
        <f aca="false">SUMIFS('Dados por plano'!$C$5:$C$22,'Dados por plano'!$B$5:$B$22,$A42)/SUM('Dados por plano'!$C$5:$C$22)</f>
        <v>0.0530572012699132</v>
      </c>
      <c r="C42" s="7" t="n">
        <f aca="false">SUMIFS('Dados por plano'!$C$5:$C$22,'Dados por plano'!$B$5:$B$22,$A42,'Dados por plano'!$A$5:$A$22,"Premiere Futebol")/SUMIFS('Dados por plano'!$C$5:$C$22,'Dados por plano'!$A$5:$A$22,"Premiere Futebol")</f>
        <v>0.0510325770796975</v>
      </c>
      <c r="D42" s="7" t="n">
        <f aca="false">SUMIFS('Dados por plano'!$C$5:$C$22,'Dados por plano'!$B$5:$B$22,$A42,'Dados por plano'!$A$5:$A$22,"Telecine")/SUMIFS('Dados por plano'!$C$5:$C$22,'Dados por plano'!$A$5:$A$22,"Telecine")</f>
        <v>0.0531867937853107</v>
      </c>
      <c r="E42" s="7" t="n">
        <f aca="false">SUMIFS('Dados por plano'!$C$5:$C$22,'Dados por plano'!$B$5:$B$22,$A42,'Dados por plano'!$A$5:$A$22,"Plano Família Claro tv+")/SUMIFS('Dados por plano'!$C$5:$C$22,'Dados por plano'!$A$5:$A$22,"Plano Família Claro tv+")</f>
        <v>0.0543560389238695</v>
      </c>
      <c r="F42" s="12" t="n">
        <f aca="false">(C42-$B42)*100</f>
        <v>-0.202462419021573</v>
      </c>
      <c r="G42" s="12" t="n">
        <f aca="false">(D42-$B42)*100</f>
        <v>0.0129592515397507</v>
      </c>
      <c r="H42" s="12" t="n">
        <f aca="false">(E42-$B42)*100</f>
        <v>0.129883765395626</v>
      </c>
    </row>
    <row r="43" customFormat="false" ht="15" hidden="false" customHeight="false" outlineLevel="0" collapsed="false">
      <c r="A43" s="3" t="s">
        <v>18</v>
      </c>
      <c r="B43" s="7" t="n">
        <f aca="false">SUMIFS('Dados por plano'!$C$5:$C$22,'Dados por plano'!$B$5:$B$22,$A43)/SUM('Dados por plano'!$C$5:$C$22)</f>
        <v>0.129386203636461</v>
      </c>
      <c r="C43" s="7" t="n">
        <f aca="false">SUMIFS('Dados por plano'!$C$5:$C$22,'Dados por plano'!$B$5:$B$22,$A43,'Dados por plano'!$A$5:$A$22,"Premiere Futebol")/SUMIFS('Dados por plano'!$C$5:$C$22,'Dados por plano'!$A$5:$A$22,"Premiere Futebol")</f>
        <v>0.137739965095986</v>
      </c>
      <c r="D43" s="7" t="n">
        <f aca="false">SUMIFS('Dados por plano'!$C$5:$C$22,'Dados por plano'!$B$5:$B$22,$A43,'Dados por plano'!$A$5:$A$22,"Telecine")/SUMIFS('Dados por plano'!$C$5:$C$22,'Dados por plano'!$A$5:$A$22,"Telecine")</f>
        <v>0.183180740516546</v>
      </c>
      <c r="E43" s="7" t="n">
        <f aca="false">SUMIFS('Dados por plano'!$C$5:$C$22,'Dados por plano'!$B$5:$B$22,$A43,'Dados por plano'!$A$5:$A$22,"Plano Família Claro tv+")/SUMIFS('Dados por plano'!$C$5:$C$22,'Dados por plano'!$A$5:$A$22,"Plano Família Claro tv+")</f>
        <v>0.0958443045220378</v>
      </c>
      <c r="F43" s="12" t="n">
        <f aca="false">(C43-$B43)*100</f>
        <v>0.835376145952479</v>
      </c>
      <c r="G43" s="12" t="n">
        <f aca="false">(D43-$B43)*100</f>
        <v>5.37945368800843</v>
      </c>
      <c r="H43" s="12" t="n">
        <f aca="false">(E43-$B43)*100</f>
        <v>-3.35418991144235</v>
      </c>
    </row>
    <row r="45" customFormat="false" ht="15" hidden="false" customHeight="false" outlineLevel="0" collapsed="false">
      <c r="A45" s="3" t="s">
        <v>27</v>
      </c>
    </row>
    <row r="46" customFormat="false" ht="39.75" hidden="false" customHeight="true" outlineLevel="0" collapsed="false">
      <c r="A46" s="5" t="s">
        <v>4</v>
      </c>
      <c r="B46" s="5" t="s">
        <v>3</v>
      </c>
      <c r="C46" s="5" t="s">
        <v>21</v>
      </c>
      <c r="D46" s="5" t="s">
        <v>22</v>
      </c>
      <c r="E46" s="5" t="s">
        <v>23</v>
      </c>
    </row>
    <row r="47" customFormat="false" ht="15" hidden="false" customHeight="false" outlineLevel="0" collapsed="false">
      <c r="A47" s="3" t="s">
        <v>13</v>
      </c>
      <c r="B47" s="7" t="n">
        <f aca="false">SUMIFS('Dados por plano'!$D$5:$D$22,'Dados por plano'!$B$5:$B$22,$A47)/SUM('Dados por plano'!$D$5:$D$22)</f>
        <v>0.384615926227802</v>
      </c>
      <c r="C47" s="7" t="n">
        <f aca="false">SUMIFS('Dados por plano'!$D$5:$D$22,'Dados por plano'!$B$5:$B$22,$A47,'Dados por plano'!$A$5:$A$22,"Premiere Futebol")/SUMIFS('Dados por plano'!$D$5:$D$22,'Dados por plano'!$A$5:$A$22,"Premiere Futebol")</f>
        <v>0.372693445903901</v>
      </c>
      <c r="D47" s="7" t="n">
        <f aca="false">SUMIFS('Dados por plano'!$D$5:$D$22,'Dados por plano'!$B$5:$B$22,$A47,'Dados por plano'!$A$5:$A$22,"Telecine")/SUMIFS('Dados por plano'!$D$5:$D$22,'Dados por plano'!$A$5:$A$22,"Telecine")</f>
        <v>0.350807453164219</v>
      </c>
      <c r="E47" s="7" t="n">
        <f aca="false">SUMIFS('Dados por plano'!$D$5:$D$22,'Dados por plano'!$B$5:$B$22,$A47,'Dados por plano'!$A$5:$A$22,"Plano Família Claro tv+")/SUMIFS('Dados por plano'!$D$5:$D$22,'Dados por plano'!$A$5:$A$22,"Plano Família Claro tv+")</f>
        <v>0.396460870598005</v>
      </c>
    </row>
    <row r="48" customFormat="false" ht="15" hidden="false" customHeight="false" outlineLevel="0" collapsed="false">
      <c r="A48" s="3" t="s">
        <v>14</v>
      </c>
      <c r="B48" s="7" t="n">
        <f aca="false">SUMIFS('Dados por plano'!$D$5:$D$22,'Dados por plano'!$B$5:$B$22,$A48)/SUM('Dados por plano'!$D$5:$D$22)</f>
        <v>0.320096799058581</v>
      </c>
      <c r="C48" s="7" t="n">
        <f aca="false">SUMIFS('Dados por plano'!$D$5:$D$22,'Dados por plano'!$B$5:$B$22,$A48,'Dados por plano'!$A$5:$A$22,"Premiere Futebol")/SUMIFS('Dados por plano'!$D$5:$D$22,'Dados por plano'!$A$5:$A$22,"Premiere Futebol")</f>
        <v>0.287345611633174</v>
      </c>
      <c r="D48" s="7" t="n">
        <f aca="false">SUMIFS('Dados por plano'!$D$5:$D$22,'Dados por plano'!$B$5:$B$22,$A48,'Dados por plano'!$A$5:$A$22,"Telecine")/SUMIFS('Dados por plano'!$D$5:$D$22,'Dados por plano'!$A$5:$A$22,"Telecine")</f>
        <v>0.251587347960472</v>
      </c>
      <c r="E48" s="7" t="n">
        <f aca="false">SUMIFS('Dados por plano'!$D$5:$D$22,'Dados por plano'!$B$5:$B$22,$A48,'Dados por plano'!$A$5:$A$22,"Plano Família Claro tv+")/SUMIFS('Dados por plano'!$D$5:$D$22,'Dados por plano'!$A$5:$A$22,"Plano Família Claro tv+")</f>
        <v>0.347647477914421</v>
      </c>
    </row>
    <row r="49" customFormat="false" ht="15" hidden="false" customHeight="false" outlineLevel="0" collapsed="false">
      <c r="A49" s="3" t="s">
        <v>15</v>
      </c>
      <c r="B49" s="7" t="n">
        <f aca="false">SUMIFS('Dados por plano'!$D$5:$D$22,'Dados por plano'!$B$5:$B$22,$A49)/SUM('Dados por plano'!$D$5:$D$22)</f>
        <v>0.170779604080792</v>
      </c>
      <c r="C49" s="7" t="n">
        <f aca="false">SUMIFS('Dados por plano'!$D$5:$D$22,'Dados por plano'!$B$5:$B$22,$A49,'Dados por plano'!$A$5:$A$22,"Premiere Futebol")/SUMIFS('Dados por plano'!$D$5:$D$22,'Dados por plano'!$A$5:$A$22,"Premiere Futebol")</f>
        <v>0.207221220018019</v>
      </c>
      <c r="D49" s="7" t="n">
        <f aca="false">SUMIFS('Dados por plano'!$D$5:$D$22,'Dados por plano'!$B$5:$B$22,$A49,'Dados por plano'!$A$5:$A$22,"Telecine")/SUMIFS('Dados por plano'!$D$5:$D$22,'Dados por plano'!$A$5:$A$22,"Telecine")</f>
        <v>0.225154062046595</v>
      </c>
      <c r="E49" s="7" t="n">
        <f aca="false">SUMIFS('Dados por plano'!$D$5:$D$22,'Dados por plano'!$B$5:$B$22,$A49,'Dados por plano'!$A$5:$A$22,"Plano Família Claro tv+")/SUMIFS('Dados por plano'!$D$5:$D$22,'Dados por plano'!$A$5:$A$22,"Plano Família Claro tv+")</f>
        <v>0.144598552962157</v>
      </c>
    </row>
    <row r="50" customFormat="false" ht="15" hidden="false" customHeight="false" outlineLevel="0" collapsed="false">
      <c r="A50" s="3" t="s">
        <v>16</v>
      </c>
      <c r="B50" s="7" t="n">
        <f aca="false">SUMIFS('Dados por plano'!$D$5:$D$22,'Dados por plano'!$B$5:$B$22,$A50)/SUM('Dados por plano'!$D$5:$D$22)</f>
        <v>0.0548568912740219</v>
      </c>
      <c r="C50" s="7" t="n">
        <f aca="false">SUMIFS('Dados por plano'!$D$5:$D$22,'Dados por plano'!$B$5:$B$22,$A50,'Dados por plano'!$A$5:$A$22,"Premiere Futebol")/SUMIFS('Dados por plano'!$D$5:$D$22,'Dados por plano'!$A$5:$A$22,"Premiere Futebol")</f>
        <v>0.0600418752835642</v>
      </c>
      <c r="D50" s="7" t="n">
        <f aca="false">SUMIFS('Dados por plano'!$D$5:$D$22,'Dados por plano'!$B$5:$B$22,$A50,'Dados por plano'!$A$5:$A$22,"Telecine")/SUMIFS('Dados por plano'!$D$5:$D$22,'Dados por plano'!$A$5:$A$22,"Telecine")</f>
        <v>0.0830026254609484</v>
      </c>
      <c r="E50" s="7" t="n">
        <f aca="false">SUMIFS('Dados por plano'!$D$5:$D$22,'Dados por plano'!$B$5:$B$22,$A50,'Dados por plano'!$A$5:$A$22,"Plano Família Claro tv+")/SUMIFS('Dados por plano'!$D$5:$D$22,'Dados por plano'!$A$5:$A$22,"Plano Família Claro tv+")</f>
        <v>0.0469536535988498</v>
      </c>
    </row>
    <row r="51" customFormat="false" ht="15" hidden="false" customHeight="false" outlineLevel="0" collapsed="false">
      <c r="A51" s="3" t="s">
        <v>17</v>
      </c>
      <c r="B51" s="7" t="n">
        <f aca="false">SUMIFS('Dados por plano'!$D$5:$D$22,'Dados por plano'!$B$5:$B$22,$A51)/SUM('Dados por plano'!$D$5:$D$22)</f>
        <v>0.0481188589593017</v>
      </c>
      <c r="C51" s="7" t="n">
        <f aca="false">SUMIFS('Dados por plano'!$D$5:$D$22,'Dados por plano'!$B$5:$B$22,$A51,'Dados por plano'!$A$5:$A$22,"Premiere Futebol")/SUMIFS('Dados por plano'!$D$5:$D$22,'Dados por plano'!$A$5:$A$22,"Premiere Futebol")</f>
        <v>0.0464146328979596</v>
      </c>
      <c r="D51" s="7" t="n">
        <f aca="false">SUMIFS('Dados por plano'!$D$5:$D$22,'Dados por plano'!$B$5:$B$22,$A51,'Dados por plano'!$A$5:$A$22,"Telecine")/SUMIFS('Dados por plano'!$D$5:$D$22,'Dados por plano'!$A$5:$A$22,"Telecine")</f>
        <v>0.0476518427548789</v>
      </c>
      <c r="E51" s="7" t="n">
        <f aca="false">SUMIFS('Dados por plano'!$D$5:$D$22,'Dados por plano'!$B$5:$B$22,$A51,'Dados por plano'!$A$5:$A$22,"Plano Família Claro tv+")/SUMIFS('Dados por plano'!$D$5:$D$22,'Dados por plano'!$A$5:$A$22,"Plano Família Claro tv+")</f>
        <v>0.048918274087172</v>
      </c>
    </row>
    <row r="52" customFormat="false" ht="15" hidden="false" customHeight="false" outlineLevel="0" collapsed="false">
      <c r="A52" s="3" t="s">
        <v>18</v>
      </c>
      <c r="B52" s="7" t="n">
        <f aca="false">SUMIFS('Dados por plano'!$D$5:$D$22,'Dados por plano'!$B$5:$B$22,$A52)/SUM('Dados por plano'!$D$5:$D$22)</f>
        <v>0.0215319203995007</v>
      </c>
      <c r="C52" s="7" t="n">
        <f aca="false">SUMIFS('Dados por plano'!$D$5:$D$22,'Dados por plano'!$B$5:$B$22,$A52,'Dados por plano'!$A$5:$A$22,"Premiere Futebol")/SUMIFS('Dados por plano'!$D$5:$D$22,'Dados por plano'!$A$5:$A$22,"Premiere Futebol")</f>
        <v>0.026283214263383</v>
      </c>
      <c r="D52" s="7" t="n">
        <f aca="false">SUMIFS('Dados por plano'!$D$5:$D$22,'Dados por plano'!$B$5:$B$22,$A52,'Dados por plano'!$A$5:$A$22,"Telecine")/SUMIFS('Dados por plano'!$D$5:$D$22,'Dados por plano'!$A$5:$A$22,"Telecine")</f>
        <v>0.0417966686128862</v>
      </c>
      <c r="E52" s="7" t="n">
        <f aca="false">SUMIFS('Dados por plano'!$D$5:$D$22,'Dados por plano'!$B$5:$B$22,$A52,'Dados por plano'!$A$5:$A$22,"Plano Família Claro tv+")/SUMIFS('Dados por plano'!$D$5:$D$22,'Dados por plano'!$A$5:$A$22,"Plano Família Claro tv+")</f>
        <v>0.0154211708393949</v>
      </c>
    </row>
    <row r="55" customFormat="false" ht="15" hidden="false" customHeight="false" outlineLevel="0" collapsed="false">
      <c r="A55" s="3" t="s">
        <v>28</v>
      </c>
    </row>
    <row r="56" customFormat="false" ht="39.75" hidden="false" customHeight="true" outlineLevel="0" collapsed="false">
      <c r="A56" s="5" t="s">
        <v>4</v>
      </c>
      <c r="B56" s="5" t="s">
        <v>29</v>
      </c>
      <c r="C56" s="5" t="s">
        <v>30</v>
      </c>
    </row>
    <row r="57" customFormat="false" ht="15" hidden="false" customHeight="false" outlineLevel="0" collapsed="false">
      <c r="A57" s="3" t="s">
        <v>13</v>
      </c>
      <c r="B57" s="6" t="n">
        <f aca="false">SUMPRODUCT(('Dados por plano'!$B$5:$B$22=$A57)*((($B$4="Todos")+('Dados por plano'!$A$5:$A$22=$B$4))&gt;0)*'Dados por plano'!$G$5:$G$22)</f>
        <v>187854</v>
      </c>
      <c r="C57" s="7" t="n">
        <f aca="false">B57/SUM($B$57:$B$62)</f>
        <v>0.255820002424008</v>
      </c>
    </row>
    <row r="58" customFormat="false" ht="15" hidden="false" customHeight="false" outlineLevel="0" collapsed="false">
      <c r="A58" s="3" t="s">
        <v>14</v>
      </c>
      <c r="B58" s="6" t="n">
        <f aca="false">SUMPRODUCT(('Dados por plano'!$B$5:$B$22=$A58)*((($B$4="Todos")+('Dados por plano'!$A$5:$A$22=$B$4))&gt;0)*'Dados por plano'!$G$5:$G$22)</f>
        <v>173416</v>
      </c>
      <c r="C58" s="7" t="n">
        <f aca="false">B58/SUM($B$57:$B$62)</f>
        <v>0.236158301342328</v>
      </c>
    </row>
    <row r="59" customFormat="false" ht="15" hidden="false" customHeight="false" outlineLevel="0" collapsed="false">
      <c r="A59" s="3" t="s">
        <v>15</v>
      </c>
      <c r="B59" s="6" t="n">
        <f aca="false">SUMPRODUCT(('Dados por plano'!$B$5:$B$22=$A59)*((($B$4="Todos")+('Dados por plano'!$A$5:$A$22=$B$4))&gt;0)*'Dados por plano'!$G$5:$G$22)</f>
        <v>101466</v>
      </c>
      <c r="C59" s="7" t="n">
        <f aca="false">B59/SUM($B$57:$B$62)</f>
        <v>0.138176628477192</v>
      </c>
    </row>
    <row r="60" customFormat="false" ht="15" hidden="false" customHeight="false" outlineLevel="0" collapsed="false">
      <c r="A60" s="3" t="s">
        <v>16</v>
      </c>
      <c r="B60" s="6" t="n">
        <f aca="false">SUMPRODUCT(('Dados por plano'!$B$5:$B$22=$A60)*((($B$4="Todos")+('Dados por plano'!$A$5:$A$22=$B$4))&gt;0)*'Dados por plano'!$G$5:$G$22)</f>
        <v>148740</v>
      </c>
      <c r="C60" s="7" t="n">
        <f aca="false">B60/SUM($B$57:$B$62)</f>
        <v>0.202554468686038</v>
      </c>
    </row>
    <row r="61" customFormat="false" ht="15" hidden="false" customHeight="false" outlineLevel="0" collapsed="false">
      <c r="A61" s="3" t="s">
        <v>17</v>
      </c>
      <c r="B61" s="6" t="n">
        <f aca="false">SUMPRODUCT(('Dados por plano'!$B$5:$B$22=$A61)*((($B$4="Todos")+('Dados por plano'!$A$5:$A$22=$B$4))&gt;0)*'Dados por plano'!$G$5:$G$22)</f>
        <v>38558</v>
      </c>
      <c r="C61" s="7" t="n">
        <f aca="false">B61/SUM($B$57:$B$62)</f>
        <v>0.0525083716794154</v>
      </c>
    </row>
    <row r="62" customFormat="false" ht="15" hidden="false" customHeight="false" outlineLevel="0" collapsed="false">
      <c r="A62" s="3" t="s">
        <v>18</v>
      </c>
      <c r="B62" s="6" t="n">
        <f aca="false">SUMPRODUCT(('Dados por plano'!$B$5:$B$22=$A62)*((($B$4="Todos")+('Dados por plano'!$A$5:$A$22=$B$4))&gt;0)*'Dados por plano'!$G$5:$G$22)</f>
        <v>84287</v>
      </c>
      <c r="C62" s="7" t="n">
        <f aca="false">B62/SUM($B$57:$B$62)</f>
        <v>0.114782227391018</v>
      </c>
    </row>
    <row r="64" customFormat="false" ht="15" hidden="false" customHeight="false" outlineLevel="0" collapsed="false">
      <c r="A64" s="2" t="s">
        <v>31</v>
      </c>
    </row>
  </sheetData>
  <dataValidations count="1">
    <dataValidation allowBlank="false" errorStyle="stop" operator="between" showDropDown="false" showErrorMessage="false" showInputMessage="false" sqref="B4" type="list">
      <formula1>"Todos,Premiere Futebol,Telecine,Plano Família Claro tv+"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2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9.75" hidden="false" customHeight="true" outlineLevel="0" collapsed="false">
      <c r="A4" s="5" t="s">
        <v>34</v>
      </c>
      <c r="B4" s="5" t="s">
        <v>21</v>
      </c>
      <c r="C4" s="5" t="s">
        <v>22</v>
      </c>
      <c r="D4" s="5" t="s">
        <v>23</v>
      </c>
      <c r="E4" s="5" t="s">
        <v>35</v>
      </c>
    </row>
    <row r="5" customFormat="false" ht="15" hidden="false" customHeight="false" outlineLevel="0" collapsed="false">
      <c r="A5" s="3" t="s">
        <v>36</v>
      </c>
      <c r="B5" s="13" t="n">
        <v>59.9</v>
      </c>
      <c r="C5" s="13" t="n">
        <v>37.9</v>
      </c>
      <c r="D5" s="13" t="n">
        <v>99.9</v>
      </c>
      <c r="E5" s="9"/>
    </row>
    <row r="6" customFormat="false" ht="15" hidden="false" customHeight="false" outlineLevel="0" collapsed="false">
      <c r="A6" s="3" t="s">
        <v>37</v>
      </c>
      <c r="B6" s="14" t="n">
        <v>0.45</v>
      </c>
      <c r="C6" s="14" t="n">
        <v>0.58</v>
      </c>
      <c r="D6" s="14" t="n">
        <v>0.38</v>
      </c>
      <c r="E6" s="9" t="s">
        <v>38</v>
      </c>
    </row>
    <row r="7" customFormat="false" ht="15" hidden="false" customHeight="false" outlineLevel="0" collapsed="false">
      <c r="A7" s="3" t="s">
        <v>39</v>
      </c>
      <c r="B7" s="14" t="n">
        <f aca="false">0.6-(1-B6)</f>
        <v>0.0499999999999999</v>
      </c>
      <c r="C7" s="14" t="n">
        <f aca="false">0.6-(1-C6)</f>
        <v>0.18</v>
      </c>
      <c r="D7" s="14" t="n">
        <f aca="false">0.6-(1-D6)</f>
        <v>-0.02</v>
      </c>
      <c r="E7" s="9" t="s">
        <v>40</v>
      </c>
    </row>
    <row r="8" customFormat="false" ht="15" hidden="false" customHeight="false" outlineLevel="0" collapsed="false">
      <c r="A8" s="3" t="s">
        <v>41</v>
      </c>
      <c r="B8" s="13" t="n">
        <f aca="false">B5*0.4*2</f>
        <v>47.92</v>
      </c>
      <c r="C8" s="13" t="n">
        <f aca="false">C5*0.4*2</f>
        <v>30.32</v>
      </c>
      <c r="D8" s="13" t="n">
        <f aca="false">D5*0.4*2</f>
        <v>79.92</v>
      </c>
    </row>
    <row r="9" customFormat="false" ht="15" hidden="false" customHeight="false" outlineLevel="0" collapsed="false">
      <c r="A9" s="3" t="s">
        <v>42</v>
      </c>
      <c r="B9" s="13" t="n">
        <f aca="false">B5*B6</f>
        <v>26.955</v>
      </c>
      <c r="C9" s="13" t="n">
        <f aca="false">C5*C6</f>
        <v>21.982</v>
      </c>
      <c r="D9" s="13" t="n">
        <f aca="false">D5*D6</f>
        <v>37.962</v>
      </c>
    </row>
    <row r="10" customFormat="false" ht="15" hidden="false" customHeight="false" outlineLevel="0" collapsed="false">
      <c r="A10" s="3" t="s">
        <v>43</v>
      </c>
      <c r="B10" s="12" t="n">
        <f aca="false">B8/B9</f>
        <v>1.77777777777778</v>
      </c>
      <c r="C10" s="12" t="n">
        <f aca="false">C8/C9</f>
        <v>1.37931034482759</v>
      </c>
      <c r="D10" s="12" t="n">
        <f aca="false">D8/D9</f>
        <v>2.10526315789474</v>
      </c>
      <c r="E10" s="9" t="s">
        <v>44</v>
      </c>
    </row>
    <row r="11" customFormat="false" ht="15" hidden="false" customHeight="false" outlineLevel="0" collapsed="false">
      <c r="A11" s="3" t="s">
        <v>45</v>
      </c>
      <c r="B11" s="7" t="n">
        <v>0.422948614179774</v>
      </c>
      <c r="C11" s="7" t="n">
        <v>0.376272357815188</v>
      </c>
      <c r="D11" s="7" t="n">
        <v>0.408671567151201</v>
      </c>
      <c r="E11" s="9"/>
    </row>
    <row r="12" customFormat="false" ht="15" hidden="false" customHeight="false" outlineLevel="0" collapsed="false">
      <c r="A12" s="3" t="s">
        <v>46</v>
      </c>
      <c r="B12" s="7" t="n">
        <v>0.58733577818936</v>
      </c>
      <c r="C12" s="7" t="n">
        <v>0.532946577628263</v>
      </c>
      <c r="D12" s="7" t="n">
        <v>0.564308320920106</v>
      </c>
      <c r="E12" s="9" t="s">
        <v>47</v>
      </c>
    </row>
    <row r="13" customFormat="false" ht="15" hidden="false" customHeight="false" outlineLevel="0" collapsed="false">
      <c r="A13" s="3" t="s">
        <v>48</v>
      </c>
      <c r="B13" s="7" t="n">
        <v>0.21499407650858</v>
      </c>
      <c r="C13" s="7" t="n">
        <v>0.182639954868081</v>
      </c>
      <c r="D13" s="7" t="n">
        <v>0.213065550079668</v>
      </c>
      <c r="E13" s="9"/>
    </row>
    <row r="14" customFormat="false" ht="15" hidden="false" customHeight="false" outlineLevel="0" collapsed="false">
      <c r="A14" s="3" t="s">
        <v>49</v>
      </c>
      <c r="B14" s="7" t="n">
        <v>0.296127966018211</v>
      </c>
      <c r="C14" s="7" t="n">
        <v>0.251338780669611</v>
      </c>
      <c r="D14" s="7" t="n">
        <v>0.285254167339529</v>
      </c>
      <c r="E14" s="9"/>
    </row>
    <row r="15" customFormat="false" ht="15" hidden="false" customHeight="false" outlineLevel="0" collapsed="false">
      <c r="A15" s="3" t="s">
        <v>50</v>
      </c>
      <c r="B15" s="6" t="n">
        <v>115.961662618948</v>
      </c>
      <c r="C15" s="6" t="n">
        <v>85.6907797221238</v>
      </c>
      <c r="D15" s="6" t="n">
        <v>161.000348846482</v>
      </c>
      <c r="E15" s="9"/>
    </row>
    <row r="16" customFormat="false" ht="15" hidden="false" customHeight="false" outlineLevel="0" collapsed="false">
      <c r="A16" s="3" t="s">
        <v>51</v>
      </c>
      <c r="B16" s="6" t="n">
        <v>168.990652665865</v>
      </c>
      <c r="C16" s="6" t="n">
        <v>125.935370456604</v>
      </c>
      <c r="D16" s="6" t="n">
        <v>231.427336099411</v>
      </c>
      <c r="E16" s="9"/>
    </row>
    <row r="17" customFormat="false" ht="15" hidden="false" customHeight="false" outlineLevel="0" collapsed="false">
      <c r="A17" s="3" t="s">
        <v>52</v>
      </c>
      <c r="B17" s="14" t="n">
        <f aca="false">1-B15/B16</f>
        <v>0.313798362278465</v>
      </c>
      <c r="C17" s="14" t="n">
        <f aca="false">1-C15/C16</f>
        <v>0.319565429383064</v>
      </c>
      <c r="D17" s="14" t="n">
        <f aca="false">1-D15/D16</f>
        <v>0.304315766840426</v>
      </c>
      <c r="E17" s="9" t="s">
        <v>53</v>
      </c>
    </row>
    <row r="18" customFormat="false" ht="15" hidden="false" customHeight="false" outlineLevel="0" collapsed="false">
      <c r="A18" s="3" t="s">
        <v>54</v>
      </c>
      <c r="B18" s="7" t="n">
        <v>0.365213541666667</v>
      </c>
      <c r="C18" s="7" t="n">
        <v>0.319697916666667</v>
      </c>
      <c r="D18" s="7" t="n">
        <v>0.314163194444445</v>
      </c>
      <c r="E18" s="9" t="s">
        <v>55</v>
      </c>
    </row>
    <row r="19" customFormat="false" ht="15" hidden="false" customHeight="false" outlineLevel="0" collapsed="false">
      <c r="A19" s="3" t="s">
        <v>56</v>
      </c>
      <c r="B19" s="8" t="n">
        <v>0.940881944444444</v>
      </c>
      <c r="C19" s="8" t="n">
        <v>0.995183333333333</v>
      </c>
      <c r="D19" s="8" t="n">
        <v>1.04172685185185</v>
      </c>
      <c r="E19" s="9" t="s">
        <v>57</v>
      </c>
    </row>
    <row r="20" customFormat="false" ht="15" hidden="false" customHeight="false" outlineLevel="0" collapsed="false">
      <c r="A20" s="3" t="s">
        <v>58</v>
      </c>
      <c r="B20" s="7" t="n">
        <v>0.179902868909932</v>
      </c>
      <c r="C20" s="7" t="n">
        <v>0.179296946961196</v>
      </c>
      <c r="D20" s="7" t="n">
        <v>0.180532902543409</v>
      </c>
      <c r="E20" s="9"/>
    </row>
    <row r="21" customFormat="false" ht="15" hidden="false" customHeight="false" outlineLevel="0" collapsed="false">
      <c r="A21" s="3" t="s">
        <v>59</v>
      </c>
      <c r="B21" s="7" t="n">
        <v>0.0679321111677851</v>
      </c>
      <c r="C21" s="7" t="n">
        <v>0.115825378718229</v>
      </c>
      <c r="D21" s="7" t="n">
        <v>0.0462525697371956</v>
      </c>
      <c r="E21" s="9"/>
    </row>
    <row r="24" customFormat="false" ht="15" hidden="false" customHeight="false" outlineLevel="0" collapsed="false">
      <c r="A24" s="15" t="s">
        <v>60</v>
      </c>
    </row>
    <row r="25" customFormat="false" ht="39.75" hidden="false" customHeight="true" outlineLevel="0" collapsed="false">
      <c r="A25" s="5" t="s">
        <v>61</v>
      </c>
      <c r="B25" s="5" t="s">
        <v>62</v>
      </c>
      <c r="C25" s="5" t="s">
        <v>63</v>
      </c>
      <c r="D25" s="5" t="s">
        <v>64</v>
      </c>
      <c r="E25" s="5" t="s">
        <v>65</v>
      </c>
    </row>
    <row r="26" customFormat="false" ht="69.75" hidden="false" customHeight="true" outlineLevel="0" collapsed="false">
      <c r="A26" s="3" t="s">
        <v>21</v>
      </c>
      <c r="B26" s="9" t="s">
        <v>66</v>
      </c>
      <c r="C26" s="9" t="s">
        <v>67</v>
      </c>
      <c r="D26" s="9" t="s">
        <v>68</v>
      </c>
      <c r="E26" s="9" t="s">
        <v>69</v>
      </c>
    </row>
    <row r="27" customFormat="false" ht="69.75" hidden="false" customHeight="true" outlineLevel="0" collapsed="false">
      <c r="A27" s="3" t="s">
        <v>22</v>
      </c>
      <c r="B27" s="9" t="s">
        <v>70</v>
      </c>
      <c r="C27" s="9" t="s">
        <v>71</v>
      </c>
      <c r="D27" s="9" t="s">
        <v>72</v>
      </c>
      <c r="E27" s="9" t="s">
        <v>73</v>
      </c>
    </row>
    <row r="28" customFormat="false" ht="69.75" hidden="false" customHeight="true" outlineLevel="0" collapsed="false">
      <c r="A28" s="3" t="s">
        <v>23</v>
      </c>
      <c r="B28" s="9" t="s">
        <v>74</v>
      </c>
      <c r="C28" s="9" t="s">
        <v>75</v>
      </c>
      <c r="D28" s="9" t="s">
        <v>76</v>
      </c>
      <c r="E28" s="9" t="s">
        <v>77</v>
      </c>
    </row>
    <row r="30" customFormat="false" ht="15" hidden="false" customHeight="false" outlineLevel="0" collapsed="false">
      <c r="A30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28"/>
    <col collapsed="false" customWidth="true" hidden="false" outlineLevel="0" max="10" min="10" style="0" width="34"/>
    <col collapsed="false" customWidth="true" hidden="false" outlineLevel="0" max="11" min="11" style="0" width="40"/>
    <col collapsed="false" customWidth="true" hidden="false" outlineLevel="0" max="12" min="12" style="0" width="44"/>
    <col collapsed="false" customWidth="true" hidden="false" outlineLevel="0" max="13" min="13" style="0" width="38"/>
    <col collapsed="false" customWidth="true" hidden="false" outlineLevel="0" max="14" min="14" style="0" width="36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9.75" hidden="false" customHeight="true" outlineLevel="0" collapsed="false">
      <c r="A4" s="5" t="s">
        <v>4</v>
      </c>
      <c r="B4" s="5" t="s">
        <v>5</v>
      </c>
      <c r="C4" s="5" t="s">
        <v>81</v>
      </c>
      <c r="D4" s="5" t="s">
        <v>6</v>
      </c>
      <c r="E4" s="5" t="s">
        <v>8</v>
      </c>
      <c r="F4" s="5" t="s">
        <v>82</v>
      </c>
      <c r="G4" s="5" t="s">
        <v>10</v>
      </c>
      <c r="H4" s="5" t="s">
        <v>83</v>
      </c>
      <c r="I4" s="5" t="s">
        <v>84</v>
      </c>
      <c r="J4" s="5" t="s">
        <v>85</v>
      </c>
      <c r="K4" s="5" t="s">
        <v>86</v>
      </c>
      <c r="L4" s="5" t="s">
        <v>87</v>
      </c>
      <c r="M4" s="5" t="s">
        <v>88</v>
      </c>
      <c r="N4" s="5" t="s">
        <v>89</v>
      </c>
    </row>
    <row r="5" customFormat="false" ht="94.5" hidden="false" customHeight="true" outlineLevel="0" collapsed="false">
      <c r="A5" s="3" t="s">
        <v>13</v>
      </c>
      <c r="B5" s="6" t="n">
        <v>165871</v>
      </c>
      <c r="C5" s="6" t="n">
        <v>165148825.082999</v>
      </c>
      <c r="D5" s="7" t="n">
        <f aca="false">B5/SUM($B$5:$B$10)</f>
        <v>0.247348258342939</v>
      </c>
      <c r="E5" s="7" t="n">
        <f aca="false">C5/SUM($C$5:$C$10)</f>
        <v>0.384615926227802</v>
      </c>
      <c r="F5" s="6" t="n">
        <f aca="false">C5/B5</f>
        <v>995.646165291094</v>
      </c>
      <c r="G5" s="7" t="n">
        <v>0.120756491490375</v>
      </c>
      <c r="H5" s="16" t="s">
        <v>90</v>
      </c>
      <c r="I5" s="16" t="s">
        <v>91</v>
      </c>
      <c r="J5" s="16" t="s">
        <v>92</v>
      </c>
      <c r="K5" s="16" t="s">
        <v>93</v>
      </c>
      <c r="L5" s="16" t="s">
        <v>94</v>
      </c>
      <c r="M5" s="16" t="s">
        <v>95</v>
      </c>
      <c r="N5" s="16" t="s">
        <v>96</v>
      </c>
    </row>
    <row r="6" customFormat="false" ht="94.5" hidden="false" customHeight="true" outlineLevel="0" collapsed="false">
      <c r="A6" s="3" t="s">
        <v>14</v>
      </c>
      <c r="B6" s="6" t="n">
        <v>142050</v>
      </c>
      <c r="C6" s="6" t="n">
        <v>137445193.171858</v>
      </c>
      <c r="D6" s="7" t="n">
        <f aca="false">B6/SUM($B$5:$B$10)</f>
        <v>0.211826178763102</v>
      </c>
      <c r="E6" s="7" t="n">
        <f aca="false">C6/SUM($C$5:$C$10)</f>
        <v>0.320096799058581</v>
      </c>
      <c r="F6" s="6" t="n">
        <f aca="false">C6/B6</f>
        <v>967.583197267571</v>
      </c>
      <c r="G6" s="7" t="n">
        <v>0.102154171066526</v>
      </c>
      <c r="H6" s="16" t="s">
        <v>97</v>
      </c>
      <c r="I6" s="16" t="s">
        <v>98</v>
      </c>
      <c r="J6" s="16" t="s">
        <v>99</v>
      </c>
      <c r="K6" s="16" t="s">
        <v>100</v>
      </c>
      <c r="L6" s="16" t="s">
        <v>101</v>
      </c>
      <c r="M6" s="16" t="s">
        <v>102</v>
      </c>
      <c r="N6" s="16" t="s">
        <v>103</v>
      </c>
    </row>
    <row r="7" customFormat="false" ht="94.5" hidden="false" customHeight="true" outlineLevel="0" collapsed="false">
      <c r="A7" s="3" t="s">
        <v>15</v>
      </c>
      <c r="B7" s="6" t="n">
        <v>109123</v>
      </c>
      <c r="C7" s="6" t="n">
        <v>73330429.2380698</v>
      </c>
      <c r="D7" s="7" t="n">
        <f aca="false">B7/SUM($B$5:$B$10)</f>
        <v>0.162725153855445</v>
      </c>
      <c r="E7" s="7" t="n">
        <f aca="false">C7/SUM($C$5:$C$10)</f>
        <v>0.170779604080792</v>
      </c>
      <c r="F7" s="6" t="n">
        <f aca="false">C7/B7</f>
        <v>671.997921960263</v>
      </c>
      <c r="G7" s="7" t="n">
        <v>0.274066878659861</v>
      </c>
      <c r="H7" s="16" t="s">
        <v>104</v>
      </c>
      <c r="I7" s="16" t="s">
        <v>105</v>
      </c>
      <c r="J7" s="16" t="s">
        <v>106</v>
      </c>
      <c r="K7" s="16" t="s">
        <v>107</v>
      </c>
      <c r="L7" s="16" t="s">
        <v>108</v>
      </c>
      <c r="M7" s="16" t="s">
        <v>109</v>
      </c>
      <c r="N7" s="16" t="s">
        <v>110</v>
      </c>
    </row>
    <row r="8" customFormat="false" ht="94.5" hidden="false" customHeight="true" outlineLevel="0" collapsed="false">
      <c r="A8" s="3" t="s">
        <v>16</v>
      </c>
      <c r="B8" s="6" t="n">
        <v>131207</v>
      </c>
      <c r="C8" s="6" t="n">
        <v>23554799.7985</v>
      </c>
      <c r="D8" s="7" t="n">
        <f aca="false">B8/SUM($B$5:$B$10)</f>
        <v>0.195657004132139</v>
      </c>
      <c r="E8" s="7" t="n">
        <f aca="false">C8/SUM($C$5:$C$10)</f>
        <v>0.0548568912740219</v>
      </c>
      <c r="F8" s="6" t="n">
        <f aca="false">C8/B8</f>
        <v>179.523956789653</v>
      </c>
      <c r="G8" s="7" t="n">
        <v>0.195408781543668</v>
      </c>
      <c r="H8" s="16" t="s">
        <v>111</v>
      </c>
      <c r="I8" s="16" t="s">
        <v>112</v>
      </c>
      <c r="J8" s="16" t="s">
        <v>113</v>
      </c>
      <c r="K8" s="16" t="s">
        <v>114</v>
      </c>
      <c r="L8" s="16" t="s">
        <v>115</v>
      </c>
      <c r="M8" s="16" t="s">
        <v>116</v>
      </c>
      <c r="N8" s="16" t="s">
        <v>117</v>
      </c>
    </row>
    <row r="9" customFormat="false" ht="94.5" hidden="false" customHeight="true" outlineLevel="0" collapsed="false">
      <c r="A9" s="3" t="s">
        <v>17</v>
      </c>
      <c r="B9" s="6" t="n">
        <v>35580</v>
      </c>
      <c r="C9" s="6" t="n">
        <v>20661580.7603257</v>
      </c>
      <c r="D9" s="7" t="n">
        <f aca="false">B9/SUM($B$5:$B$10)</f>
        <v>0.0530572012699132</v>
      </c>
      <c r="E9" s="7" t="n">
        <f aca="false">C9/SUM($C$5:$C$10)</f>
        <v>0.0481188589593017</v>
      </c>
      <c r="F9" s="6" t="n">
        <f aca="false">C9/B9</f>
        <v>580.707722325062</v>
      </c>
      <c r="G9" s="7" t="n">
        <v>0.290415964024733</v>
      </c>
      <c r="H9" s="16" t="s">
        <v>97</v>
      </c>
      <c r="I9" s="16" t="s">
        <v>118</v>
      </c>
      <c r="J9" s="16" t="s">
        <v>119</v>
      </c>
      <c r="K9" s="16" t="s">
        <v>120</v>
      </c>
      <c r="L9" s="16" t="s">
        <v>121</v>
      </c>
      <c r="M9" s="16" t="s">
        <v>122</v>
      </c>
      <c r="N9" s="16" t="s">
        <v>123</v>
      </c>
    </row>
    <row r="10" customFormat="false" ht="94.5" hidden="false" customHeight="true" outlineLevel="0" collapsed="false">
      <c r="A10" s="3" t="s">
        <v>18</v>
      </c>
      <c r="B10" s="6" t="n">
        <v>86766</v>
      </c>
      <c r="C10" s="6" t="n">
        <v>9245512.5055119</v>
      </c>
      <c r="D10" s="7" t="n">
        <f aca="false">B10/SUM($B$5:$B$10)</f>
        <v>0.129386203636461</v>
      </c>
      <c r="E10" s="7" t="n">
        <f aca="false">C10/SUM($C$5:$C$10)</f>
        <v>0.0215319203995007</v>
      </c>
      <c r="F10" s="6" t="n">
        <f aca="false">C10/B10</f>
        <v>106.556859893413</v>
      </c>
      <c r="G10" s="7" t="n">
        <v>0.508148353041514</v>
      </c>
      <c r="H10" s="16" t="s">
        <v>124</v>
      </c>
      <c r="I10" s="16" t="s">
        <v>125</v>
      </c>
      <c r="J10" s="16" t="s">
        <v>126</v>
      </c>
      <c r="K10" s="16" t="s">
        <v>127</v>
      </c>
      <c r="L10" s="16" t="s">
        <v>128</v>
      </c>
      <c r="M10" s="16" t="s">
        <v>129</v>
      </c>
      <c r="N10" s="16" t="s">
        <v>130</v>
      </c>
    </row>
    <row r="11" customFormat="false" ht="15" hidden="false" customHeight="false" outlineLevel="0" collapsed="false">
      <c r="A11" s="3" t="s">
        <v>19</v>
      </c>
      <c r="B11" s="10" t="n">
        <f aca="false">SUM(B5:B10)</f>
        <v>670597</v>
      </c>
      <c r="C11" s="10" t="n">
        <f aca="false">SUM(C5:C10)</f>
        <v>429386340.557265</v>
      </c>
      <c r="D11" s="11" t="n">
        <f aca="false">SUM(D5:D10)</f>
        <v>1</v>
      </c>
      <c r="E11" s="11" t="n">
        <f aca="false">SUM(E5:E10)</f>
        <v>1</v>
      </c>
    </row>
    <row r="12" customFormat="false" ht="15" hidden="false" customHeight="false" outlineLevel="0" collapsed="false">
      <c r="A12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132</v>
      </c>
    </row>
    <row r="4" customFormat="false" ht="15" hidden="false" customHeight="false" outlineLevel="0" collapsed="false">
      <c r="A4" s="3" t="s">
        <v>133</v>
      </c>
    </row>
    <row r="5" customFormat="false" ht="39.75" hidden="false" customHeight="true" outlineLevel="0" collapsed="false">
      <c r="A5" s="5" t="s">
        <v>134</v>
      </c>
      <c r="B5" s="5" t="s">
        <v>135</v>
      </c>
    </row>
    <row r="6" customFormat="false" ht="15" hidden="false" customHeight="false" outlineLevel="0" collapsed="false">
      <c r="A6" s="9" t="s">
        <v>136</v>
      </c>
      <c r="B6" s="13" t="n">
        <v>1920000</v>
      </c>
    </row>
    <row r="7" customFormat="false" ht="15" hidden="false" customHeight="false" outlineLevel="0" collapsed="false">
      <c r="A7" s="9" t="s">
        <v>137</v>
      </c>
      <c r="B7" s="13" t="n">
        <v>7.05</v>
      </c>
    </row>
    <row r="8" customFormat="false" ht="15" hidden="false" customHeight="false" outlineLevel="0" collapsed="false">
      <c r="A8" s="9" t="s">
        <v>138</v>
      </c>
      <c r="B8" s="13" t="n">
        <v>7.26</v>
      </c>
    </row>
    <row r="9" customFormat="false" ht="15" hidden="false" customHeight="false" outlineLevel="0" collapsed="false">
      <c r="A9" s="9" t="s">
        <v>139</v>
      </c>
      <c r="B9" s="13" t="n">
        <v>1</v>
      </c>
    </row>
    <row r="10" customFormat="false" ht="15" hidden="false" customHeight="false" outlineLevel="0" collapsed="false">
      <c r="A10" s="9" t="s">
        <v>140</v>
      </c>
      <c r="B10" s="13" t="n">
        <v>1</v>
      </c>
    </row>
    <row r="11" customFormat="false" ht="15" hidden="false" customHeight="false" outlineLevel="0" collapsed="false">
      <c r="A11" s="9" t="s">
        <v>141</v>
      </c>
      <c r="B11" s="13" t="n">
        <v>2</v>
      </c>
    </row>
    <row r="12" customFormat="false" ht="15" hidden="false" customHeight="false" outlineLevel="0" collapsed="false">
      <c r="A12" s="9" t="s">
        <v>142</v>
      </c>
      <c r="B12" s="13" t="n">
        <v>4</v>
      </c>
    </row>
    <row r="13" customFormat="false" ht="15" hidden="false" customHeight="false" outlineLevel="0" collapsed="false">
      <c r="A13" s="9" t="s">
        <v>143</v>
      </c>
      <c r="B13" s="13" t="n">
        <v>10</v>
      </c>
    </row>
    <row r="14" customFormat="false" ht="15" hidden="false" customHeight="false" outlineLevel="0" collapsed="false">
      <c r="A14" s="9" t="s">
        <v>144</v>
      </c>
      <c r="B14" s="13" t="n">
        <v>19</v>
      </c>
    </row>
    <row r="15" customFormat="false" ht="15" hidden="false" customHeight="false" outlineLevel="0" collapsed="false">
      <c r="A15" s="9" t="s">
        <v>145</v>
      </c>
      <c r="B15" s="13" t="n">
        <v>29</v>
      </c>
    </row>
    <row r="16" customFormat="false" ht="15" hidden="false" customHeight="false" outlineLevel="0" collapsed="false">
      <c r="A16" s="9" t="s">
        <v>146</v>
      </c>
      <c r="B16" s="13" t="n">
        <v>44</v>
      </c>
    </row>
    <row r="18" customFormat="false" ht="15" hidden="false" customHeight="false" outlineLevel="0" collapsed="false">
      <c r="A18" s="3" t="s">
        <v>147</v>
      </c>
    </row>
    <row r="19" customFormat="false" ht="39.75" hidden="false" customHeight="true" outlineLevel="0" collapsed="false">
      <c r="A19" s="5" t="s">
        <v>134</v>
      </c>
      <c r="B19" s="5" t="s">
        <v>135</v>
      </c>
    </row>
    <row r="20" customFormat="false" ht="15" hidden="false" customHeight="false" outlineLevel="0" collapsed="false">
      <c r="A20" s="9" t="s">
        <v>136</v>
      </c>
      <c r="B20" s="13" t="n">
        <v>1920000</v>
      </c>
    </row>
    <row r="21" customFormat="false" ht="15" hidden="false" customHeight="false" outlineLevel="0" collapsed="false">
      <c r="A21" s="9" t="s">
        <v>137</v>
      </c>
      <c r="B21" s="13" t="n">
        <v>439.16</v>
      </c>
    </row>
    <row r="22" customFormat="false" ht="15" hidden="false" customHeight="false" outlineLevel="0" collapsed="false">
      <c r="A22" s="9" t="s">
        <v>138</v>
      </c>
      <c r="B22" s="13" t="n">
        <v>508.97</v>
      </c>
    </row>
    <row r="23" customFormat="false" ht="15" hidden="false" customHeight="false" outlineLevel="0" collapsed="false">
      <c r="A23" s="9" t="s">
        <v>139</v>
      </c>
      <c r="B23" s="13" t="n">
        <v>22.74</v>
      </c>
    </row>
    <row r="24" customFormat="false" ht="15" hidden="false" customHeight="false" outlineLevel="0" collapsed="false">
      <c r="A24" s="9" t="s">
        <v>140</v>
      </c>
      <c r="B24" s="13" t="n">
        <v>45.48</v>
      </c>
    </row>
    <row r="25" customFormat="false" ht="15" hidden="false" customHeight="false" outlineLevel="0" collapsed="false">
      <c r="A25" s="9" t="s">
        <v>141</v>
      </c>
      <c r="B25" s="13" t="n">
        <v>95.97</v>
      </c>
    </row>
    <row r="26" customFormat="false" ht="15" hidden="false" customHeight="false" outlineLevel="0" collapsed="false">
      <c r="A26" s="9" t="s">
        <v>142</v>
      </c>
      <c r="B26" s="13" t="n">
        <v>219.78</v>
      </c>
    </row>
    <row r="27" customFormat="false" ht="15" hidden="false" customHeight="false" outlineLevel="0" collapsed="false">
      <c r="A27" s="9" t="s">
        <v>143</v>
      </c>
      <c r="B27" s="13" t="n">
        <v>612.21</v>
      </c>
    </row>
    <row r="28" customFormat="false" ht="15" hidden="false" customHeight="false" outlineLevel="0" collapsed="false">
      <c r="A28" s="9" t="s">
        <v>144</v>
      </c>
      <c r="B28" s="13" t="n">
        <v>1168.68</v>
      </c>
    </row>
    <row r="29" customFormat="false" ht="15" hidden="false" customHeight="false" outlineLevel="0" collapsed="false">
      <c r="A29" s="9" t="s">
        <v>145</v>
      </c>
      <c r="B29" s="13" t="n">
        <v>2287.07</v>
      </c>
    </row>
    <row r="30" customFormat="false" ht="15" hidden="false" customHeight="false" outlineLevel="0" collapsed="false">
      <c r="A30" s="9" t="s">
        <v>146</v>
      </c>
      <c r="B30" s="13" t="n">
        <v>2935.09</v>
      </c>
    </row>
    <row r="32" customFormat="false" ht="15" hidden="false" customHeight="false" outlineLevel="0" collapsed="false">
      <c r="A32" s="3" t="s">
        <v>148</v>
      </c>
    </row>
    <row r="33" customFormat="false" ht="39.75" hidden="false" customHeight="true" outlineLevel="0" collapsed="false">
      <c r="A33" s="5" t="s">
        <v>134</v>
      </c>
      <c r="B33" s="5" t="s">
        <v>135</v>
      </c>
    </row>
    <row r="34" customFormat="false" ht="15" hidden="false" customHeight="false" outlineLevel="0" collapsed="false">
      <c r="A34" s="9" t="s">
        <v>136</v>
      </c>
      <c r="B34" s="13" t="n">
        <v>1920000</v>
      </c>
    </row>
    <row r="35" customFormat="false" ht="15" hidden="false" customHeight="false" outlineLevel="0" collapsed="false">
      <c r="A35" s="9" t="s">
        <v>137</v>
      </c>
      <c r="B35" s="13" t="n">
        <v>5.7</v>
      </c>
    </row>
    <row r="36" customFormat="false" ht="15" hidden="false" customHeight="false" outlineLevel="0" collapsed="false">
      <c r="A36" s="9" t="s">
        <v>138</v>
      </c>
      <c r="B36" s="13" t="n">
        <v>10.03</v>
      </c>
    </row>
    <row r="37" customFormat="false" ht="15" hidden="false" customHeight="false" outlineLevel="0" collapsed="false">
      <c r="A37" s="9" t="s">
        <v>139</v>
      </c>
      <c r="B37" s="13" t="n">
        <v>0</v>
      </c>
    </row>
    <row r="38" customFormat="false" ht="15" hidden="false" customHeight="false" outlineLevel="0" collapsed="false">
      <c r="A38" s="9" t="s">
        <v>140</v>
      </c>
      <c r="B38" s="13" t="n">
        <v>0</v>
      </c>
    </row>
    <row r="39" customFormat="false" ht="15" hidden="false" customHeight="false" outlineLevel="0" collapsed="false">
      <c r="A39" s="9" t="s">
        <v>141</v>
      </c>
      <c r="B39" s="13" t="n">
        <v>1</v>
      </c>
    </row>
    <row r="40" customFormat="false" ht="15" hidden="false" customHeight="false" outlineLevel="0" collapsed="false">
      <c r="A40" s="9" t="s">
        <v>142</v>
      </c>
      <c r="B40" s="13" t="n">
        <v>3</v>
      </c>
    </row>
    <row r="41" customFormat="false" ht="15" hidden="false" customHeight="false" outlineLevel="0" collapsed="false">
      <c r="A41" s="9" t="s">
        <v>143</v>
      </c>
      <c r="B41" s="13" t="n">
        <v>6</v>
      </c>
    </row>
    <row r="42" customFormat="false" ht="15" hidden="false" customHeight="false" outlineLevel="0" collapsed="false">
      <c r="A42" s="9" t="s">
        <v>144</v>
      </c>
      <c r="B42" s="13" t="n">
        <v>14</v>
      </c>
    </row>
    <row r="43" customFormat="false" ht="15" hidden="false" customHeight="false" outlineLevel="0" collapsed="false">
      <c r="A43" s="9" t="s">
        <v>145</v>
      </c>
      <c r="B43" s="13" t="n">
        <v>52</v>
      </c>
    </row>
    <row r="44" customFormat="false" ht="15" hidden="false" customHeight="false" outlineLevel="0" collapsed="false">
      <c r="A44" s="9" t="s">
        <v>146</v>
      </c>
      <c r="B44" s="13" t="n">
        <v>90</v>
      </c>
    </row>
    <row r="46" customFormat="false" ht="15" hidden="false" customHeight="false" outlineLevel="0" collapsed="false">
      <c r="A46" s="3" t="s">
        <v>149</v>
      </c>
    </row>
    <row r="47" customFormat="false" ht="39.75" hidden="false" customHeight="true" outlineLevel="0" collapsed="false">
      <c r="A47" s="5" t="s">
        <v>134</v>
      </c>
      <c r="B47" s="5" t="s">
        <v>135</v>
      </c>
    </row>
    <row r="48" customFormat="false" ht="15" hidden="false" customHeight="false" outlineLevel="0" collapsed="false">
      <c r="A48" s="9" t="s">
        <v>136</v>
      </c>
      <c r="B48" s="13" t="n">
        <v>1920000</v>
      </c>
    </row>
    <row r="49" customFormat="false" ht="15" hidden="false" customHeight="false" outlineLevel="0" collapsed="false">
      <c r="A49" s="9" t="s">
        <v>137</v>
      </c>
      <c r="B49" s="13" t="n">
        <v>0.51</v>
      </c>
    </row>
    <row r="50" customFormat="false" ht="15" hidden="false" customHeight="false" outlineLevel="0" collapsed="false">
      <c r="A50" s="9" t="s">
        <v>138</v>
      </c>
      <c r="B50" s="13" t="n">
        <v>0.68</v>
      </c>
    </row>
    <row r="51" customFormat="false" ht="15" hidden="false" customHeight="false" outlineLevel="0" collapsed="false">
      <c r="A51" s="9" t="s">
        <v>139</v>
      </c>
      <c r="B51" s="13" t="n">
        <v>0</v>
      </c>
    </row>
    <row r="52" customFormat="false" ht="15" hidden="false" customHeight="false" outlineLevel="0" collapsed="false">
      <c r="A52" s="9" t="s">
        <v>142</v>
      </c>
      <c r="B52" s="13" t="n">
        <v>0</v>
      </c>
    </row>
    <row r="53" customFormat="false" ht="15" hidden="false" customHeight="false" outlineLevel="0" collapsed="false">
      <c r="A53" s="9" t="s">
        <v>143</v>
      </c>
      <c r="B53" s="13" t="n">
        <v>1</v>
      </c>
    </row>
    <row r="54" customFormat="false" ht="15" hidden="false" customHeight="false" outlineLevel="0" collapsed="false">
      <c r="A54" s="9" t="s">
        <v>144</v>
      </c>
      <c r="B54" s="13" t="n">
        <v>1</v>
      </c>
    </row>
    <row r="55" customFormat="false" ht="15" hidden="false" customHeight="false" outlineLevel="0" collapsed="false">
      <c r="A55" s="9" t="s">
        <v>145</v>
      </c>
      <c r="B55" s="13" t="n">
        <v>3</v>
      </c>
    </row>
    <row r="56" customFormat="false" ht="15" hidden="false" customHeight="false" outlineLevel="0" collapsed="false">
      <c r="A56" s="9" t="s">
        <v>146</v>
      </c>
      <c r="B56" s="13" t="n">
        <v>11</v>
      </c>
    </row>
    <row r="58" customFormat="false" ht="15" hidden="false" customHeight="false" outlineLevel="0" collapsed="false">
      <c r="A58" s="3" t="s">
        <v>150</v>
      </c>
    </row>
    <row r="59" customFormat="false" ht="39.75" hidden="false" customHeight="true" outlineLevel="0" collapsed="false">
      <c r="A59" s="5" t="s">
        <v>134</v>
      </c>
      <c r="B59" s="5" t="s">
        <v>135</v>
      </c>
    </row>
    <row r="60" customFormat="false" ht="15" hidden="false" customHeight="false" outlineLevel="0" collapsed="false">
      <c r="A60" s="9" t="s">
        <v>136</v>
      </c>
      <c r="B60" s="13" t="n">
        <v>1920000</v>
      </c>
    </row>
    <row r="61" customFormat="false" ht="15" hidden="false" customHeight="false" outlineLevel="0" collapsed="false">
      <c r="A61" s="9" t="s">
        <v>137</v>
      </c>
      <c r="B61" s="13" t="n">
        <v>6</v>
      </c>
    </row>
    <row r="62" customFormat="false" ht="15" hidden="false" customHeight="false" outlineLevel="0" collapsed="false">
      <c r="A62" s="9" t="s">
        <v>138</v>
      </c>
      <c r="B62" s="13" t="n">
        <v>2.2</v>
      </c>
    </row>
    <row r="63" customFormat="false" ht="15" hidden="false" customHeight="false" outlineLevel="0" collapsed="false">
      <c r="A63" s="9" t="s">
        <v>139</v>
      </c>
      <c r="B63" s="13" t="n">
        <v>0</v>
      </c>
    </row>
    <row r="64" customFormat="false" ht="15" hidden="false" customHeight="false" outlineLevel="0" collapsed="false">
      <c r="A64" s="9" t="s">
        <v>141</v>
      </c>
      <c r="B64" s="13" t="n">
        <v>4</v>
      </c>
    </row>
    <row r="65" customFormat="false" ht="15" hidden="false" customHeight="false" outlineLevel="0" collapsed="false">
      <c r="A65" s="9" t="s">
        <v>142</v>
      </c>
      <c r="B65" s="13" t="n">
        <v>6</v>
      </c>
    </row>
    <row r="66" customFormat="false" ht="15" hidden="false" customHeight="false" outlineLevel="0" collapsed="false">
      <c r="A66" s="9" t="s">
        <v>143</v>
      </c>
      <c r="B66" s="13" t="n">
        <v>8</v>
      </c>
    </row>
    <row r="67" customFormat="false" ht="15" hidden="false" customHeight="false" outlineLevel="0" collapsed="false">
      <c r="A67" s="9" t="s">
        <v>146</v>
      </c>
      <c r="B67" s="13" t="n">
        <v>10</v>
      </c>
    </row>
    <row r="69" customFormat="false" ht="15" hidden="false" customHeight="false" outlineLevel="0" collapsed="false">
      <c r="A69" s="3" t="s">
        <v>151</v>
      </c>
    </row>
    <row r="70" customFormat="false" ht="15" hidden="false" customHeight="false" outlineLevel="0" collapsed="false">
      <c r="A70" s="9" t="s">
        <v>152</v>
      </c>
      <c r="B70" s="7" t="n">
        <v>0.330861979166667</v>
      </c>
    </row>
    <row r="71" customFormat="false" ht="15" hidden="false" customHeight="false" outlineLevel="0" collapsed="false">
      <c r="A71" s="9" t="s">
        <v>153</v>
      </c>
      <c r="B71" s="7" t="n">
        <v>0.136394270833333</v>
      </c>
    </row>
    <row r="72" customFormat="false" ht="15" hidden="false" customHeight="false" outlineLevel="0" collapsed="false">
      <c r="A72" s="9" t="s">
        <v>154</v>
      </c>
      <c r="B72" s="7" t="n">
        <v>0.069284375</v>
      </c>
    </row>
    <row r="73" customFormat="false" ht="15" hidden="false" customHeight="false" outlineLevel="0" collapsed="false">
      <c r="A73" s="9" t="s">
        <v>155</v>
      </c>
      <c r="B73" s="7" t="n">
        <v>0.617541145833333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1" t="s">
        <v>156</v>
      </c>
    </row>
    <row r="4" customFormat="false" ht="39.75" hidden="false" customHeight="true" outlineLevel="0" collapsed="false">
      <c r="A4" s="5" t="s">
        <v>157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5" t="s">
        <v>163</v>
      </c>
      <c r="H4" s="5" t="s">
        <v>164</v>
      </c>
      <c r="I4" s="5" t="s">
        <v>165</v>
      </c>
    </row>
    <row r="5" customFormat="false" ht="15" hidden="false" customHeight="false" outlineLevel="0" collapsed="false">
      <c r="A5" s="9" t="n">
        <v>3</v>
      </c>
      <c r="B5" s="6" t="n">
        <v>537352.25</v>
      </c>
      <c r="C5" s="17" t="n">
        <v>0.279199123382568</v>
      </c>
      <c r="D5" s="6" t="n">
        <v>50543.4659538542</v>
      </c>
      <c r="E5" s="17" t="n">
        <v>1.25064820950605</v>
      </c>
      <c r="F5" s="7" t="n">
        <v>0.0527</v>
      </c>
      <c r="G5" s="17" t="n">
        <v>0.766091365194227</v>
      </c>
      <c r="H5" s="17" t="n">
        <v>0.427792631005805</v>
      </c>
      <c r="I5" s="17" t="n">
        <v>0.511130915792314</v>
      </c>
    </row>
    <row r="6" customFormat="false" ht="15" hidden="false" customHeight="false" outlineLevel="0" collapsed="false">
      <c r="A6" s="9" t="n">
        <v>4</v>
      </c>
      <c r="B6" s="6" t="n">
        <v>450122.28125</v>
      </c>
      <c r="C6" s="17" t="n">
        <v>0.254106014966965</v>
      </c>
      <c r="D6" s="6" t="n">
        <v>49915.8106145975</v>
      </c>
      <c r="E6" s="17" t="n">
        <v>1.30392810657654</v>
      </c>
      <c r="F6" s="7" t="n">
        <v>0.0527</v>
      </c>
      <c r="G6" s="17" t="n">
        <v>0.994794918278021</v>
      </c>
      <c r="H6" s="17" t="n">
        <v>0.991975888539675</v>
      </c>
      <c r="I6" s="17" t="n">
        <v>0.733919642179755</v>
      </c>
    </row>
    <row r="7" customFormat="false" ht="15" hidden="false" customHeight="false" outlineLevel="0" collapsed="false">
      <c r="A7" s="9" t="n">
        <v>5</v>
      </c>
      <c r="B7" s="6" t="n">
        <v>401839.4375</v>
      </c>
      <c r="C7" s="17" t="n">
        <v>0.240691110491753</v>
      </c>
      <c r="D7" s="6" t="n">
        <v>46441.7169787144</v>
      </c>
      <c r="E7" s="17" t="n">
        <v>1.39009949803026</v>
      </c>
      <c r="F7" s="7" t="n">
        <v>0.0527</v>
      </c>
      <c r="G7" s="17" t="n">
        <v>0.950677659306506</v>
      </c>
      <c r="H7" s="17" t="n">
        <v>0.902154352889914</v>
      </c>
      <c r="I7" s="17" t="n">
        <v>0.689611695796252</v>
      </c>
    </row>
    <row r="8" customFormat="false" ht="15" hidden="false" customHeight="false" outlineLevel="0" collapsed="false">
      <c r="A8" s="9" t="n">
        <v>6</v>
      </c>
      <c r="B8" s="6" t="n">
        <v>367847.5625</v>
      </c>
      <c r="C8" s="17" t="n">
        <v>0.222194626927376</v>
      </c>
      <c r="D8" s="6" t="n">
        <v>43357.1559425978</v>
      </c>
      <c r="E8" s="17" t="n">
        <v>1.35674895634267</v>
      </c>
      <c r="F8" s="7" t="n">
        <v>0.0527</v>
      </c>
      <c r="G8" s="17" t="n">
        <v>0.947383352922374</v>
      </c>
      <c r="H8" s="17" t="n">
        <v>0.897944574527341</v>
      </c>
      <c r="I8" s="17" t="n">
        <v>0.760924263275094</v>
      </c>
    </row>
    <row r="9" customFormat="false" ht="15" hidden="false" customHeight="false" outlineLevel="0" collapsed="false">
      <c r="A9" s="9" t="n">
        <v>7</v>
      </c>
      <c r="B9" s="6" t="n">
        <v>341657.4375</v>
      </c>
      <c r="C9" s="17" t="n">
        <v>0.21562871336937</v>
      </c>
      <c r="D9" s="6" t="n">
        <v>40816.4475723053</v>
      </c>
      <c r="E9" s="17" t="n">
        <v>1.30145849257187</v>
      </c>
      <c r="F9" s="7" t="n">
        <v>0.0527</v>
      </c>
      <c r="G9" s="17" t="n">
        <v>0.867040538595707</v>
      </c>
      <c r="H9" s="17" t="n">
        <v>0.714671816256289</v>
      </c>
      <c r="I9" s="17"/>
    </row>
    <row r="12" customFormat="false" ht="15" hidden="false" customHeight="false" outlineLevel="0" collapsed="false">
      <c r="A12" s="3" t="s">
        <v>166</v>
      </c>
    </row>
    <row r="13" customFormat="false" ht="15" hidden="false" customHeight="false" outlineLevel="0" collapsed="false">
      <c r="A13" s="9" t="s">
        <v>167</v>
      </c>
    </row>
    <row r="14" customFormat="false" ht="15" hidden="false" customHeight="false" outlineLevel="0" collapsed="false">
      <c r="A14" s="9" t="s">
        <v>168</v>
      </c>
    </row>
    <row r="15" customFormat="false" ht="15" hidden="false" customHeight="false" outlineLevel="0" collapsed="false">
      <c r="A15" s="9" t="s">
        <v>169</v>
      </c>
    </row>
    <row r="16" customFormat="false" ht="15" hidden="false" customHeight="false" outlineLevel="0" collapsed="false">
      <c r="A16" s="9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171</v>
      </c>
    </row>
    <row r="3" customFormat="false" ht="39.75" hidden="false" customHeight="true" outlineLevel="0" collapsed="false">
      <c r="A3" s="5" t="s">
        <v>65</v>
      </c>
      <c r="B3" s="5" t="s">
        <v>172</v>
      </c>
      <c r="C3" s="5" t="s">
        <v>35</v>
      </c>
    </row>
    <row r="4" customFormat="false" ht="15" hidden="false" customHeight="false" outlineLevel="0" collapsed="false">
      <c r="A4" s="9" t="s">
        <v>173</v>
      </c>
      <c r="B4" s="8" t="n">
        <v>0.982956</v>
      </c>
      <c r="C4" s="9" t="s">
        <v>174</v>
      </c>
    </row>
    <row r="5" customFormat="false" ht="15" hidden="false" customHeight="false" outlineLevel="0" collapsed="false">
      <c r="A5" s="9" t="s">
        <v>175</v>
      </c>
      <c r="B5" s="8" t="n">
        <v>0.97433</v>
      </c>
      <c r="C5" s="9" t="s">
        <v>176</v>
      </c>
    </row>
    <row r="6" customFormat="false" ht="15" hidden="false" customHeight="false" outlineLevel="0" collapsed="false">
      <c r="A6" s="9" t="s">
        <v>177</v>
      </c>
      <c r="B6" s="8" t="n">
        <v>0.960850260714824</v>
      </c>
      <c r="C6" s="9" t="s">
        <v>178</v>
      </c>
    </row>
    <row r="7" customFormat="false" ht="15" hidden="false" customHeight="false" outlineLevel="0" collapsed="false">
      <c r="A7" s="9" t="s">
        <v>179</v>
      </c>
      <c r="B7" s="8" t="n">
        <v>0.625030157876384</v>
      </c>
      <c r="C7" s="9" t="s">
        <v>180</v>
      </c>
    </row>
    <row r="8" customFormat="false" ht="15" hidden="false" customHeight="false" outlineLevel="0" collapsed="false">
      <c r="A8" s="9" t="s">
        <v>181</v>
      </c>
      <c r="B8" s="8" t="n">
        <v>0.722405377486107</v>
      </c>
      <c r="C8" s="9" t="s">
        <v>182</v>
      </c>
    </row>
    <row r="9" customFormat="false" ht="15" hidden="false" customHeight="false" outlineLevel="0" collapsed="false">
      <c r="A9" s="9" t="s">
        <v>183</v>
      </c>
      <c r="B9" s="8"/>
      <c r="C9" s="9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39.75" hidden="false" customHeight="true" outlineLevel="0" collapsed="false">
      <c r="A4" s="5" t="s">
        <v>187</v>
      </c>
      <c r="B4" s="5" t="s">
        <v>188</v>
      </c>
      <c r="C4" s="5" t="s">
        <v>189</v>
      </c>
      <c r="D4" s="5" t="s">
        <v>190</v>
      </c>
      <c r="E4" s="5" t="s">
        <v>191</v>
      </c>
      <c r="F4" s="5" t="s">
        <v>192</v>
      </c>
      <c r="G4" s="5" t="s">
        <v>193</v>
      </c>
      <c r="H4" s="5" t="s">
        <v>194</v>
      </c>
    </row>
    <row r="5" customFormat="false" ht="15" hidden="false" customHeight="false" outlineLevel="0" collapsed="false">
      <c r="A5" s="9" t="s">
        <v>195</v>
      </c>
      <c r="B5" s="9" t="s">
        <v>196</v>
      </c>
      <c r="C5" s="9" t="s">
        <v>197</v>
      </c>
      <c r="D5" s="6" t="n">
        <v>69342</v>
      </c>
      <c r="E5" s="6" t="n">
        <v>54748</v>
      </c>
      <c r="F5" s="6" t="n">
        <v>248173</v>
      </c>
      <c r="G5" s="7" t="n">
        <f aca="false">E5/D5</f>
        <v>0.789535923394191</v>
      </c>
      <c r="H5" s="7" t="n">
        <f aca="false">E5/F5</f>
        <v>0.220604175313189</v>
      </c>
    </row>
    <row r="6" customFormat="false" ht="15" hidden="false" customHeight="false" outlineLevel="0" collapsed="false">
      <c r="A6" s="9" t="s">
        <v>195</v>
      </c>
      <c r="B6" s="9" t="s">
        <v>196</v>
      </c>
      <c r="C6" s="9" t="s">
        <v>198</v>
      </c>
      <c r="D6" s="6" t="n">
        <v>60673</v>
      </c>
      <c r="E6" s="6" t="n">
        <v>47515</v>
      </c>
      <c r="F6" s="6" t="n">
        <v>224344</v>
      </c>
      <c r="G6" s="7" t="n">
        <f aca="false">E6/D6</f>
        <v>0.783132530120482</v>
      </c>
      <c r="H6" s="7" t="n">
        <f aca="false">E6/F6</f>
        <v>0.211795278679171</v>
      </c>
    </row>
    <row r="7" customFormat="false" ht="15" hidden="false" customHeight="false" outlineLevel="0" collapsed="false">
      <c r="A7" s="9" t="s">
        <v>195</v>
      </c>
      <c r="B7" s="9" t="s">
        <v>196</v>
      </c>
      <c r="C7" s="9" t="s">
        <v>199</v>
      </c>
      <c r="D7" s="6" t="n">
        <v>148369</v>
      </c>
      <c r="E7" s="6" t="n">
        <v>114336</v>
      </c>
      <c r="F7" s="6" t="n">
        <v>582114</v>
      </c>
      <c r="G7" s="7" t="n">
        <f aca="false">E7/D7</f>
        <v>0.770619199428452</v>
      </c>
      <c r="H7" s="7" t="n">
        <f aca="false">E7/F7</f>
        <v>0.196415135179707</v>
      </c>
    </row>
    <row r="8" customFormat="false" ht="15" hidden="false" customHeight="false" outlineLevel="0" collapsed="false">
      <c r="A8" s="9" t="s">
        <v>195</v>
      </c>
      <c r="B8" s="9" t="s">
        <v>200</v>
      </c>
      <c r="C8" s="9" t="s">
        <v>197</v>
      </c>
      <c r="D8" s="6" t="n">
        <v>45454</v>
      </c>
      <c r="E8" s="6" t="n">
        <v>33452</v>
      </c>
      <c r="F8" s="6" t="n">
        <v>196483</v>
      </c>
      <c r="G8" s="7" t="n">
        <f aca="false">E8/D8</f>
        <v>0.735952831433977</v>
      </c>
      <c r="H8" s="7" t="n">
        <f aca="false">E8/F8</f>
        <v>0.17025391509698</v>
      </c>
    </row>
    <row r="9" customFormat="false" ht="15" hidden="false" customHeight="false" outlineLevel="0" collapsed="false">
      <c r="A9" s="9" t="s">
        <v>195</v>
      </c>
      <c r="B9" s="9" t="s">
        <v>200</v>
      </c>
      <c r="C9" s="9" t="s">
        <v>198</v>
      </c>
      <c r="D9" s="6" t="n">
        <v>39921</v>
      </c>
      <c r="E9" s="6" t="n">
        <v>29206</v>
      </c>
      <c r="F9" s="6" t="n">
        <v>177518</v>
      </c>
      <c r="G9" s="7" t="n">
        <f aca="false">E9/D9</f>
        <v>0.731594899927357</v>
      </c>
      <c r="H9" s="7" t="n">
        <f aca="false">E9/F9</f>
        <v>0.164524160930159</v>
      </c>
    </row>
    <row r="10" customFormat="false" ht="15" hidden="false" customHeight="false" outlineLevel="0" collapsed="false">
      <c r="A10" s="9" t="s">
        <v>195</v>
      </c>
      <c r="B10" s="9" t="s">
        <v>196</v>
      </c>
      <c r="C10" s="9" t="s">
        <v>201</v>
      </c>
      <c r="D10" s="6" t="n">
        <v>156994</v>
      </c>
      <c r="E10" s="6" t="n">
        <v>114508</v>
      </c>
      <c r="F10" s="6" t="n">
        <v>697714</v>
      </c>
      <c r="G10" s="7" t="n">
        <f aca="false">E10/D10</f>
        <v>0.729378192797177</v>
      </c>
      <c r="H10" s="7" t="n">
        <f aca="false">E10/F10</f>
        <v>0.16411882232548</v>
      </c>
    </row>
    <row r="11" customFormat="false" ht="15" hidden="false" customHeight="false" outlineLevel="0" collapsed="false">
      <c r="A11" s="9" t="s">
        <v>195</v>
      </c>
      <c r="B11" s="9" t="s">
        <v>200</v>
      </c>
      <c r="C11" s="9" t="s">
        <v>199</v>
      </c>
      <c r="D11" s="6" t="n">
        <v>96679</v>
      </c>
      <c r="E11" s="6" t="n">
        <v>68531</v>
      </c>
      <c r="F11" s="6" t="n">
        <v>454926</v>
      </c>
      <c r="G11" s="7" t="n">
        <f aca="false">E11/D11</f>
        <v>0.708850939707692</v>
      </c>
      <c r="H11" s="7" t="n">
        <f aca="false">E11/F11</f>
        <v>0.150642082448574</v>
      </c>
    </row>
    <row r="12" customFormat="false" ht="15" hidden="false" customHeight="false" outlineLevel="0" collapsed="false">
      <c r="A12" s="9" t="s">
        <v>195</v>
      </c>
      <c r="B12" s="9" t="s">
        <v>200</v>
      </c>
      <c r="C12" s="9" t="s">
        <v>201</v>
      </c>
      <c r="D12" s="6" t="n">
        <v>102568</v>
      </c>
      <c r="E12" s="6" t="n">
        <v>68660</v>
      </c>
      <c r="F12" s="6" t="n">
        <v>539647</v>
      </c>
      <c r="G12" s="7" t="n">
        <f aca="false">E12/D12</f>
        <v>0.669409562436627</v>
      </c>
      <c r="H12" s="7" t="n">
        <f aca="false">E12/F12</f>
        <v>0.127231319733085</v>
      </c>
    </row>
    <row r="13" customFormat="false" ht="15" hidden="false" customHeight="false" outlineLevel="0" collapsed="false">
      <c r="A13" s="9" t="s">
        <v>202</v>
      </c>
      <c r="B13" s="9" t="s">
        <v>196</v>
      </c>
      <c r="C13" s="9" t="s">
        <v>203</v>
      </c>
      <c r="D13" s="6" t="n">
        <v>59796</v>
      </c>
      <c r="E13" s="6" t="n">
        <v>37204</v>
      </c>
      <c r="F13" s="6" t="n">
        <v>351364</v>
      </c>
      <c r="G13" s="7" t="n">
        <f aca="false">E13/D13</f>
        <v>0.622182085758245</v>
      </c>
      <c r="H13" s="7" t="n">
        <f aca="false">E13/F13</f>
        <v>0.105884495850457</v>
      </c>
    </row>
    <row r="14" customFormat="false" ht="15" hidden="false" customHeight="false" outlineLevel="0" collapsed="false">
      <c r="A14" s="9" t="s">
        <v>202</v>
      </c>
      <c r="B14" s="9" t="s">
        <v>196</v>
      </c>
      <c r="C14" s="9" t="s">
        <v>204</v>
      </c>
      <c r="D14" s="6" t="n">
        <v>94628</v>
      </c>
      <c r="E14" s="6" t="n">
        <v>57565</v>
      </c>
      <c r="F14" s="6" t="n">
        <v>571424</v>
      </c>
      <c r="G14" s="7" t="n">
        <f aca="false">E14/D14</f>
        <v>0.608329458511223</v>
      </c>
      <c r="H14" s="7" t="n">
        <f aca="false">E14/F14</f>
        <v>0.100739555916447</v>
      </c>
    </row>
    <row r="15" customFormat="false" ht="15" hidden="false" customHeight="false" outlineLevel="0" collapsed="false">
      <c r="A15" s="9" t="s">
        <v>202</v>
      </c>
      <c r="B15" s="9" t="s">
        <v>196</v>
      </c>
      <c r="C15" s="9" t="s">
        <v>205</v>
      </c>
      <c r="D15" s="6" t="n">
        <v>61211</v>
      </c>
      <c r="E15" s="6" t="n">
        <v>37225</v>
      </c>
      <c r="F15" s="6" t="n">
        <v>369797</v>
      </c>
      <c r="G15" s="7" t="n">
        <f aca="false">E15/D15</f>
        <v>0.608142327359462</v>
      </c>
      <c r="H15" s="7" t="n">
        <f aca="false">E15/F15</f>
        <v>0.100663336911873</v>
      </c>
    </row>
    <row r="16" customFormat="false" ht="15" hidden="false" customHeight="false" outlineLevel="0" collapsed="false">
      <c r="A16" s="9" t="s">
        <v>202</v>
      </c>
      <c r="B16" s="9" t="s">
        <v>200</v>
      </c>
      <c r="C16" s="9" t="s">
        <v>206</v>
      </c>
      <c r="D16" s="6" t="n">
        <v>179623</v>
      </c>
      <c r="E16" s="6" t="n">
        <v>103554</v>
      </c>
      <c r="F16" s="6" t="n">
        <v>1153394</v>
      </c>
      <c r="G16" s="7" t="n">
        <f aca="false">E16/D16</f>
        <v>0.576507462852753</v>
      </c>
      <c r="H16" s="7" t="n">
        <f aca="false">E16/F16</f>
        <v>0.089781982566235</v>
      </c>
    </row>
    <row r="17" customFormat="false" ht="15" hidden="false" customHeight="false" outlineLevel="0" collapsed="false">
      <c r="A17" s="9" t="s">
        <v>202</v>
      </c>
      <c r="B17" s="9" t="s">
        <v>200</v>
      </c>
      <c r="C17" s="9" t="s">
        <v>207</v>
      </c>
      <c r="D17" s="6" t="n">
        <v>242292</v>
      </c>
      <c r="E17" s="6" t="n">
        <v>133788</v>
      </c>
      <c r="F17" s="6" t="n">
        <v>1629842</v>
      </c>
      <c r="G17" s="7" t="n">
        <f aca="false">E17/D17</f>
        <v>0.552176712396612</v>
      </c>
      <c r="H17" s="7" t="n">
        <f aca="false">E17/F17</f>
        <v>0.0820864844567756</v>
      </c>
    </row>
    <row r="18" customFormat="false" ht="15" hidden="false" customHeight="false" outlineLevel="0" collapsed="false">
      <c r="A18" s="9" t="s">
        <v>202</v>
      </c>
      <c r="B18" s="9" t="s">
        <v>196</v>
      </c>
      <c r="C18" s="9" t="s">
        <v>208</v>
      </c>
      <c r="D18" s="6" t="n">
        <v>18800</v>
      </c>
      <c r="E18" s="6" t="n">
        <v>9844</v>
      </c>
      <c r="F18" s="6" t="n">
        <v>133309</v>
      </c>
      <c r="G18" s="7" t="n">
        <f aca="false">E18/D18</f>
        <v>0.523617021276596</v>
      </c>
      <c r="H18" s="7" t="n">
        <f aca="false">E18/F18</f>
        <v>0.0738434764344493</v>
      </c>
    </row>
    <row r="19" customFormat="false" ht="15" hidden="false" customHeight="false" outlineLevel="0" collapsed="false">
      <c r="A19" s="9" t="s">
        <v>202</v>
      </c>
      <c r="B19" s="9" t="s">
        <v>200</v>
      </c>
      <c r="C19" s="9" t="s">
        <v>209</v>
      </c>
      <c r="D19" s="6" t="n">
        <v>237093</v>
      </c>
      <c r="E19" s="6" t="n">
        <v>122734</v>
      </c>
      <c r="F19" s="6" t="n">
        <v>1693484</v>
      </c>
      <c r="G19" s="7" t="n">
        <f aca="false">E19/D19</f>
        <v>0.517661845773599</v>
      </c>
      <c r="H19" s="7" t="n">
        <f aca="false">E19/F19</f>
        <v>0.0724742601642531</v>
      </c>
    </row>
    <row r="20" customFormat="false" ht="15" hidden="false" customHeight="false" outlineLevel="0" collapsed="false">
      <c r="A20" s="9" t="s">
        <v>202</v>
      </c>
      <c r="B20" s="9" t="s">
        <v>200</v>
      </c>
      <c r="C20" s="9" t="s">
        <v>210</v>
      </c>
      <c r="D20" s="6" t="n">
        <v>258336</v>
      </c>
      <c r="E20" s="6" t="n">
        <v>130432</v>
      </c>
      <c r="F20" s="6" t="n">
        <v>1886403</v>
      </c>
      <c r="G20" s="7" t="n">
        <f aca="false">E20/D20</f>
        <v>0.50489285271894</v>
      </c>
      <c r="H20" s="7" t="n">
        <f aca="false">E20/F20</f>
        <v>0.0691432318544871</v>
      </c>
    </row>
    <row r="21" customFormat="false" ht="15" hidden="false" customHeight="false" outlineLevel="0" collapsed="false">
      <c r="A21" s="9" t="s">
        <v>202</v>
      </c>
      <c r="B21" s="9" t="s">
        <v>200</v>
      </c>
      <c r="C21" s="9" t="s">
        <v>211</v>
      </c>
      <c r="D21" s="6" t="n">
        <v>48221</v>
      </c>
      <c r="E21" s="6" t="n">
        <v>22377</v>
      </c>
      <c r="F21" s="6" t="n">
        <v>375079</v>
      </c>
      <c r="G21" s="7" t="n">
        <f aca="false">E21/D21</f>
        <v>0.464050932166483</v>
      </c>
      <c r="H21" s="7" t="n">
        <f aca="false">E21/F21</f>
        <v>0.0596594317463788</v>
      </c>
    </row>
    <row r="23" customFormat="false" ht="15" hidden="false" customHeight="false" outlineLevel="0" collapsed="false">
      <c r="A23" s="3" t="s">
        <v>19</v>
      </c>
      <c r="D23" s="10" t="n">
        <f aca="false">SUM(D5:D22)</f>
        <v>1920000</v>
      </c>
      <c r="E23" s="10" t="n">
        <f aca="false">SUM(E5:E22)</f>
        <v>1185679</v>
      </c>
      <c r="F23" s="10" t="n">
        <f aca="false">SUM(F5:F22)</f>
        <v>11285015</v>
      </c>
      <c r="G23" s="11" t="n">
        <f aca="false">E23/D23</f>
        <v>0.617541145833333</v>
      </c>
      <c r="H23" s="11" t="n">
        <f aca="false">E23/F23</f>
        <v>0.10506667470092</v>
      </c>
    </row>
    <row r="25" customFormat="false" ht="15" hidden="false" customHeight="false" outlineLevel="0" collapsed="false">
      <c r="A25" s="3" t="s">
        <v>212</v>
      </c>
    </row>
    <row r="26" customFormat="false" ht="39.75" hidden="false" customHeight="true" outlineLevel="0" collapsed="false">
      <c r="A26" s="5" t="s">
        <v>188</v>
      </c>
      <c r="B26" s="5" t="s">
        <v>187</v>
      </c>
      <c r="C26" s="5" t="s">
        <v>190</v>
      </c>
      <c r="D26" s="5" t="s">
        <v>191</v>
      </c>
      <c r="E26" s="5" t="s">
        <v>213</v>
      </c>
      <c r="F26" s="5" t="s">
        <v>214</v>
      </c>
      <c r="G26" s="5" t="s">
        <v>215</v>
      </c>
    </row>
    <row r="27" customFormat="false" ht="15" hidden="false" customHeight="false" outlineLevel="0" collapsed="false">
      <c r="A27" s="9" t="s">
        <v>196</v>
      </c>
      <c r="B27" s="9" t="s">
        <v>195</v>
      </c>
      <c r="C27" s="6" t="n">
        <v>435378</v>
      </c>
      <c r="D27" s="6" t="n">
        <v>331107</v>
      </c>
      <c r="E27" s="6" t="n">
        <v>1752345</v>
      </c>
      <c r="F27" s="7" t="n">
        <f aca="false">D27/C27</f>
        <v>0.76050466491187</v>
      </c>
      <c r="G27" s="7" t="n">
        <f aca="false">D27/E27</f>
        <v>0.188950805920067</v>
      </c>
    </row>
    <row r="28" customFormat="false" ht="15" hidden="false" customHeight="false" outlineLevel="0" collapsed="false">
      <c r="A28" s="9" t="s">
        <v>196</v>
      </c>
      <c r="B28" s="9" t="s">
        <v>202</v>
      </c>
      <c r="C28" s="6" t="n">
        <v>234435</v>
      </c>
      <c r="D28" s="6" t="n">
        <v>141838</v>
      </c>
      <c r="E28" s="6" t="n">
        <v>1425894</v>
      </c>
      <c r="F28" s="7" t="n">
        <f aca="false">D28/C28</f>
        <v>0.605020581397829</v>
      </c>
      <c r="G28" s="7" t="n">
        <f aca="false">D28/E28</f>
        <v>0.099473032357244</v>
      </c>
    </row>
    <row r="29" customFormat="false" ht="15" hidden="false" customHeight="false" outlineLevel="0" collapsed="false">
      <c r="A29" s="9" t="s">
        <v>200</v>
      </c>
      <c r="B29" s="9" t="s">
        <v>195</v>
      </c>
      <c r="C29" s="6" t="n">
        <v>284622</v>
      </c>
      <c r="D29" s="6" t="n">
        <v>199849</v>
      </c>
      <c r="E29" s="6" t="n">
        <v>1368574</v>
      </c>
      <c r="F29" s="7" t="n">
        <f aca="false">D29/C29</f>
        <v>0.702155841783137</v>
      </c>
      <c r="G29" s="7" t="n">
        <f aca="false">D29/E29</f>
        <v>0.14602717865457</v>
      </c>
    </row>
    <row r="30" customFormat="false" ht="15" hidden="false" customHeight="false" outlineLevel="0" collapsed="false">
      <c r="A30" s="9" t="s">
        <v>200</v>
      </c>
      <c r="B30" s="9" t="s">
        <v>202</v>
      </c>
      <c r="C30" s="6" t="n">
        <v>965565</v>
      </c>
      <c r="D30" s="6" t="n">
        <v>512885</v>
      </c>
      <c r="E30" s="6" t="n">
        <v>6738202</v>
      </c>
      <c r="F30" s="7" t="n">
        <f aca="false">D30/C30</f>
        <v>0.531176047184809</v>
      </c>
      <c r="G30" s="7" t="n">
        <f aca="false">D30/E30</f>
        <v>0.0761160024588162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216</v>
      </c>
    </row>
    <row r="3" customFormat="false" ht="39.75" hidden="false" customHeight="true" outlineLevel="0" collapsed="false">
      <c r="A3" s="5" t="s">
        <v>217</v>
      </c>
      <c r="B3" s="5" t="s">
        <v>218</v>
      </c>
      <c r="C3" s="5" t="s">
        <v>219</v>
      </c>
      <c r="D3" s="5" t="s">
        <v>220</v>
      </c>
      <c r="E3" s="5" t="s">
        <v>221</v>
      </c>
    </row>
    <row r="4" customFormat="false" ht="15" hidden="false" customHeight="false" outlineLevel="0" collapsed="false">
      <c r="A4" s="9" t="s">
        <v>222</v>
      </c>
      <c r="B4" s="7" t="n">
        <v>0.0554629149951117</v>
      </c>
      <c r="C4" s="7" t="n">
        <v>0.380085019237283</v>
      </c>
      <c r="D4" s="7" t="n">
        <v>0.592844038195771</v>
      </c>
      <c r="E4" s="7" t="n">
        <v>0.889096512854239</v>
      </c>
    </row>
    <row r="5" customFormat="false" ht="15" hidden="false" customHeight="false" outlineLevel="0" collapsed="false">
      <c r="A5" s="9" t="s">
        <v>223</v>
      </c>
      <c r="B5" s="7" t="n">
        <v>0.034908972302631</v>
      </c>
      <c r="C5" s="7" t="n">
        <v>0.286291334929175</v>
      </c>
      <c r="D5" s="7" t="n">
        <v>0.481004846048775</v>
      </c>
      <c r="E5" s="7" t="n">
        <v>0.830972660706577</v>
      </c>
    </row>
    <row r="7" customFormat="false" ht="15" hidden="false" customHeight="false" outlineLevel="0" collapsed="false">
      <c r="A7" s="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39.75" hidden="false" customHeight="true" outlineLevel="0" collapsed="false">
      <c r="A4" s="5" t="s">
        <v>4</v>
      </c>
      <c r="B4" s="5" t="s">
        <v>5</v>
      </c>
      <c r="C4" s="5" t="s">
        <v>7</v>
      </c>
      <c r="D4" s="5" t="s">
        <v>227</v>
      </c>
      <c r="E4" s="5" t="s">
        <v>228</v>
      </c>
    </row>
    <row r="5" customFormat="false" ht="15" hidden="false" customHeight="false" outlineLevel="0" collapsed="false">
      <c r="A5" s="9" t="s">
        <v>13</v>
      </c>
      <c r="B5" s="6" t="n">
        <v>187854</v>
      </c>
      <c r="C5" s="6" t="n">
        <v>203116645.99</v>
      </c>
      <c r="D5" s="7" t="n">
        <f aca="false">B5/SUM($B$5:$B$10)</f>
        <v>0.255820002424008</v>
      </c>
      <c r="E5" s="7" t="n">
        <f aca="false">C5/SUM($C$5:$C$10)</f>
        <v>0.396252156002917</v>
      </c>
    </row>
    <row r="6" customFormat="false" ht="15" hidden="false" customHeight="false" outlineLevel="0" collapsed="false">
      <c r="A6" s="9" t="s">
        <v>15</v>
      </c>
      <c r="B6" s="6" t="n">
        <v>101466</v>
      </c>
      <c r="C6" s="6" t="n">
        <v>71287088.83</v>
      </c>
      <c r="D6" s="7" t="n">
        <f aca="false">B6/SUM($B$5:$B$10)</f>
        <v>0.138176628477192</v>
      </c>
      <c r="E6" s="7" t="n">
        <f aca="false">C6/SUM($C$5:$C$10)</f>
        <v>0.139071135732763</v>
      </c>
    </row>
    <row r="7" customFormat="false" ht="15" hidden="false" customHeight="false" outlineLevel="0" collapsed="false">
      <c r="A7" s="9" t="s">
        <v>14</v>
      </c>
      <c r="B7" s="6" t="n">
        <v>173416</v>
      </c>
      <c r="C7" s="6" t="n">
        <v>180539561.49</v>
      </c>
      <c r="D7" s="7" t="n">
        <f aca="false">B7/SUM($B$5:$B$10)</f>
        <v>0.236158301342328</v>
      </c>
      <c r="E7" s="7" t="n">
        <f aca="false">C7/SUM($C$5:$C$10)</f>
        <v>0.352207423156031</v>
      </c>
    </row>
    <row r="8" customFormat="false" ht="15" hidden="false" customHeight="false" outlineLevel="0" collapsed="false">
      <c r="A8" s="9" t="s">
        <v>16</v>
      </c>
      <c r="B8" s="6" t="n">
        <v>148740</v>
      </c>
      <c r="C8" s="6" t="n">
        <v>25053957.48</v>
      </c>
      <c r="D8" s="7" t="n">
        <f aca="false">B8/SUM($B$5:$B$10)</f>
        <v>0.202554468686038</v>
      </c>
      <c r="E8" s="7" t="n">
        <f aca="false">C8/SUM($C$5:$C$10)</f>
        <v>0.0488767654638417</v>
      </c>
    </row>
    <row r="9" customFormat="false" ht="15" hidden="false" customHeight="false" outlineLevel="0" collapsed="false">
      <c r="A9" s="9" t="s">
        <v>17</v>
      </c>
      <c r="B9" s="6" t="n">
        <v>38558</v>
      </c>
      <c r="C9" s="6" t="n">
        <v>24093848.21</v>
      </c>
      <c r="D9" s="7" t="n">
        <f aca="false">B9/SUM($B$5:$B$10)</f>
        <v>0.0525083716794154</v>
      </c>
      <c r="E9" s="7" t="n">
        <f aca="false">C9/SUM($C$5:$C$10)</f>
        <v>0.0470037266177069</v>
      </c>
    </row>
    <row r="10" customFormat="false" ht="15" hidden="false" customHeight="false" outlineLevel="0" collapsed="false">
      <c r="A10" s="9" t="s">
        <v>18</v>
      </c>
      <c r="B10" s="6" t="n">
        <v>84287</v>
      </c>
      <c r="C10" s="6" t="n">
        <v>8503322.82</v>
      </c>
      <c r="D10" s="7" t="n">
        <f aca="false">B10/SUM($B$5:$B$10)</f>
        <v>0.114782227391018</v>
      </c>
      <c r="E10" s="7" t="n">
        <f aca="false">C10/SUM($C$5:$C$10)</f>
        <v>0.0165887930267404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229</v>
      </c>
    </row>
    <row r="3" customFormat="false" ht="39.75" hidden="false" customHeight="true" outlineLevel="0" collapsed="false">
      <c r="A3" s="5" t="s">
        <v>230</v>
      </c>
      <c r="B3" s="5" t="s">
        <v>63</v>
      </c>
    </row>
    <row r="4" customFormat="false" ht="42" hidden="false" customHeight="true" outlineLevel="0" collapsed="false">
      <c r="A4" s="18" t="s">
        <v>231</v>
      </c>
      <c r="B4" s="16" t="s">
        <v>232</v>
      </c>
    </row>
    <row r="5" customFormat="false" ht="42" hidden="false" customHeight="true" outlineLevel="0" collapsed="false">
      <c r="A5" s="18" t="s">
        <v>233</v>
      </c>
      <c r="B5" s="16" t="s">
        <v>234</v>
      </c>
    </row>
    <row r="6" customFormat="false" ht="42" hidden="false" customHeight="true" outlineLevel="0" collapsed="false">
      <c r="A6" s="18" t="s">
        <v>235</v>
      </c>
      <c r="B6" s="16" t="s">
        <v>236</v>
      </c>
    </row>
    <row r="7" customFormat="false" ht="42" hidden="false" customHeight="true" outlineLevel="0" collapsed="false">
      <c r="A7" s="18" t="s">
        <v>237</v>
      </c>
      <c r="B7" s="16" t="s">
        <v>238</v>
      </c>
    </row>
    <row r="8" customFormat="false" ht="42" hidden="false" customHeight="true" outlineLevel="0" collapsed="false">
      <c r="A8" s="18" t="s">
        <v>239</v>
      </c>
      <c r="B8" s="16" t="s">
        <v>240</v>
      </c>
    </row>
    <row r="9" customFormat="false" ht="42" hidden="false" customHeight="true" outlineLevel="0" collapsed="false">
      <c r="A9" s="18" t="s">
        <v>241</v>
      </c>
      <c r="B9" s="16" t="s">
        <v>242</v>
      </c>
    </row>
    <row r="10" customFormat="false" ht="42" hidden="false" customHeight="true" outlineLevel="0" collapsed="false">
      <c r="A10" s="18" t="s">
        <v>243</v>
      </c>
      <c r="B10" s="16" t="s">
        <v>244</v>
      </c>
    </row>
    <row r="11" customFormat="false" ht="42" hidden="false" customHeight="true" outlineLevel="0" collapsed="false">
      <c r="A11" s="18" t="s">
        <v>245</v>
      </c>
      <c r="B11" s="16" t="s">
        <v>246</v>
      </c>
    </row>
    <row r="12" customFormat="false" ht="42" hidden="false" customHeight="true" outlineLevel="0" collapsed="false">
      <c r="A12" s="18" t="s">
        <v>247</v>
      </c>
      <c r="B12" s="16" t="s">
        <v>248</v>
      </c>
    </row>
    <row r="13" customFormat="false" ht="42" hidden="false" customHeight="true" outlineLevel="0" collapsed="false">
      <c r="A13" s="18" t="s">
        <v>249</v>
      </c>
      <c r="B13" s="16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39.75" hidden="false" customHeight="true" outlineLevel="0" collapsed="false">
      <c r="A4" s="5" t="s">
        <v>61</v>
      </c>
      <c r="B4" s="5" t="s">
        <v>4</v>
      </c>
      <c r="C4" s="5" t="s">
        <v>253</v>
      </c>
      <c r="D4" s="5" t="s">
        <v>7</v>
      </c>
      <c r="E4" s="5" t="s">
        <v>254</v>
      </c>
      <c r="F4" s="5" t="s">
        <v>255</v>
      </c>
      <c r="G4" s="5" t="s">
        <v>256</v>
      </c>
      <c r="H4" s="5" t="s">
        <v>257</v>
      </c>
    </row>
    <row r="5" customFormat="false" ht="15" hidden="false" customHeight="false" outlineLevel="0" collapsed="false">
      <c r="A5" s="9" t="s">
        <v>21</v>
      </c>
      <c r="B5" s="9" t="s">
        <v>13</v>
      </c>
      <c r="C5" s="6" t="n">
        <v>50122</v>
      </c>
      <c r="D5" s="6" t="n">
        <v>40853572.640094</v>
      </c>
      <c r="E5" s="6" t="n">
        <v>5267</v>
      </c>
      <c r="F5" s="6" t="n">
        <v>66659.8215282403</v>
      </c>
      <c r="G5" s="6" t="n">
        <v>58087</v>
      </c>
      <c r="H5" s="6" t="n">
        <v>51652394.19</v>
      </c>
    </row>
    <row r="6" customFormat="false" ht="15" hidden="false" customHeight="false" outlineLevel="0" collapsed="false">
      <c r="A6" s="9" t="s">
        <v>21</v>
      </c>
      <c r="B6" s="9" t="s">
        <v>14</v>
      </c>
      <c r="C6" s="6" t="n">
        <v>39985</v>
      </c>
      <c r="D6" s="6" t="n">
        <v>31497991.0344198</v>
      </c>
      <c r="E6" s="6" t="n">
        <v>3562</v>
      </c>
      <c r="F6" s="6" t="n">
        <v>0</v>
      </c>
      <c r="G6" s="6" t="n">
        <v>49472</v>
      </c>
      <c r="H6" s="6" t="n">
        <v>42023637.44</v>
      </c>
    </row>
    <row r="7" customFormat="false" ht="15" hidden="false" customHeight="false" outlineLevel="0" collapsed="false">
      <c r="A7" s="9" t="s">
        <v>21</v>
      </c>
      <c r="B7" s="9" t="s">
        <v>15</v>
      </c>
      <c r="C7" s="6" t="n">
        <v>37362</v>
      </c>
      <c r="D7" s="6" t="n">
        <v>22714988.0353891</v>
      </c>
      <c r="E7" s="6" t="n">
        <v>8938</v>
      </c>
      <c r="F7" s="6" t="n">
        <v>10075.9539124866</v>
      </c>
      <c r="G7" s="6" t="n">
        <v>36182</v>
      </c>
      <c r="H7" s="6" t="n">
        <v>23355018.4</v>
      </c>
    </row>
    <row r="8" customFormat="false" ht="15" hidden="false" customHeight="false" outlineLevel="0" collapsed="false">
      <c r="A8" s="9" t="s">
        <v>21</v>
      </c>
      <c r="B8" s="9" t="s">
        <v>16</v>
      </c>
      <c r="C8" s="6" t="n">
        <v>39871</v>
      </c>
      <c r="D8" s="6" t="n">
        <v>6581615.91061905</v>
      </c>
      <c r="E8" s="6" t="n">
        <v>6826</v>
      </c>
      <c r="F8" s="6" t="n">
        <v>12961.4107142857</v>
      </c>
      <c r="G8" s="6" t="n">
        <v>45341</v>
      </c>
      <c r="H8" s="6" t="n">
        <v>6958127.01</v>
      </c>
    </row>
    <row r="9" customFormat="false" ht="15" hidden="false" customHeight="false" outlineLevel="0" collapsed="false">
      <c r="A9" s="9" t="s">
        <v>21</v>
      </c>
      <c r="B9" s="9" t="s">
        <v>17</v>
      </c>
      <c r="C9" s="6" t="n">
        <v>10527</v>
      </c>
      <c r="D9" s="6" t="n">
        <v>5087837.19569092</v>
      </c>
      <c r="E9" s="6" t="n">
        <v>2770</v>
      </c>
      <c r="F9" s="6" t="n">
        <v>5050.31864350973</v>
      </c>
      <c r="G9" s="6" t="n">
        <v>11649</v>
      </c>
      <c r="H9" s="6" t="n">
        <v>6042428.52</v>
      </c>
    </row>
    <row r="10" customFormat="false" ht="15" hidden="false" customHeight="false" outlineLevel="0" collapsed="false">
      <c r="A10" s="9" t="s">
        <v>21</v>
      </c>
      <c r="B10" s="9" t="s">
        <v>18</v>
      </c>
      <c r="C10" s="6" t="n">
        <v>28413</v>
      </c>
      <c r="D10" s="6" t="n">
        <v>2881089.57891667</v>
      </c>
      <c r="E10" s="6" t="n">
        <v>13102</v>
      </c>
      <c r="F10" s="6" t="n">
        <v>13465.7345238095</v>
      </c>
      <c r="G10" s="6" t="n">
        <v>28580</v>
      </c>
      <c r="H10" s="6" t="n">
        <v>2778350.51</v>
      </c>
    </row>
    <row r="11" customFormat="false" ht="15" hidden="false" customHeight="false" outlineLevel="0" collapsed="false">
      <c r="A11" s="9" t="s">
        <v>22</v>
      </c>
      <c r="B11" s="9" t="s">
        <v>13</v>
      </c>
      <c r="C11" s="6" t="n">
        <v>33305</v>
      </c>
      <c r="D11" s="6" t="n">
        <v>19062374.2901654</v>
      </c>
      <c r="E11" s="6" t="n">
        <v>4343</v>
      </c>
      <c r="F11" s="6" t="n">
        <v>46695.2018211013</v>
      </c>
      <c r="G11" s="6" t="n">
        <v>38397</v>
      </c>
      <c r="H11" s="6" t="n">
        <v>23817294.7</v>
      </c>
    </row>
    <row r="12" customFormat="false" ht="15" hidden="false" customHeight="false" outlineLevel="0" collapsed="false">
      <c r="A12" s="9" t="s">
        <v>22</v>
      </c>
      <c r="B12" s="9" t="s">
        <v>14</v>
      </c>
      <c r="C12" s="6" t="n">
        <v>24808</v>
      </c>
      <c r="D12" s="6" t="n">
        <v>13670895.9579817</v>
      </c>
      <c r="E12" s="6" t="n">
        <v>2634</v>
      </c>
      <c r="F12" s="6" t="n">
        <v>0</v>
      </c>
      <c r="G12" s="6" t="n">
        <v>30885</v>
      </c>
      <c r="H12" s="6" t="n">
        <v>18271110.23</v>
      </c>
    </row>
    <row r="13" customFormat="false" ht="15" hidden="false" customHeight="false" outlineLevel="0" collapsed="false">
      <c r="A13" s="9" t="s">
        <v>22</v>
      </c>
      <c r="B13" s="9" t="s">
        <v>15</v>
      </c>
      <c r="C13" s="6" t="n">
        <v>28255</v>
      </c>
      <c r="D13" s="6" t="n">
        <v>12234549.0809004</v>
      </c>
      <c r="E13" s="6" t="n">
        <v>7604</v>
      </c>
      <c r="F13" s="6" t="n">
        <v>7540.72020902065</v>
      </c>
      <c r="G13" s="6" t="n">
        <v>26848</v>
      </c>
      <c r="H13" s="6" t="n">
        <v>12180116.62</v>
      </c>
    </row>
    <row r="14" customFormat="false" ht="15" hidden="false" customHeight="false" outlineLevel="0" collapsed="false">
      <c r="A14" s="9" t="s">
        <v>22</v>
      </c>
      <c r="B14" s="9" t="s">
        <v>16</v>
      </c>
      <c r="C14" s="6" t="n">
        <v>34738</v>
      </c>
      <c r="D14" s="6" t="n">
        <v>4510243.72296429</v>
      </c>
      <c r="E14" s="6" t="n">
        <v>6581</v>
      </c>
      <c r="F14" s="6" t="n">
        <v>9986.29365079365</v>
      </c>
      <c r="G14" s="6" t="n">
        <v>38387</v>
      </c>
      <c r="H14" s="6" t="n">
        <v>4690571.52</v>
      </c>
    </row>
    <row r="15" customFormat="false" ht="15" hidden="false" customHeight="false" outlineLevel="0" collapsed="false">
      <c r="A15" s="9" t="s">
        <v>22</v>
      </c>
      <c r="B15" s="9" t="s">
        <v>17</v>
      </c>
      <c r="C15" s="6" t="n">
        <v>8435</v>
      </c>
      <c r="D15" s="6" t="n">
        <v>2589332.84916381</v>
      </c>
      <c r="E15" s="6" t="n">
        <v>2801</v>
      </c>
      <c r="F15" s="6" t="n">
        <v>3773.05447200643</v>
      </c>
      <c r="G15" s="6" t="n">
        <v>8925</v>
      </c>
      <c r="H15" s="6" t="n">
        <v>2918517.39</v>
      </c>
    </row>
    <row r="16" customFormat="false" ht="15" hidden="false" customHeight="false" outlineLevel="0" collapsed="false">
      <c r="A16" s="9" t="s">
        <v>22</v>
      </c>
      <c r="B16" s="9" t="s">
        <v>18</v>
      </c>
      <c r="C16" s="6" t="n">
        <v>29051</v>
      </c>
      <c r="D16" s="6" t="n">
        <v>2271171.07688095</v>
      </c>
      <c r="E16" s="6" t="n">
        <v>14612</v>
      </c>
      <c r="F16" s="6" t="n">
        <v>12139.7619047619</v>
      </c>
      <c r="G16" s="6" t="n">
        <v>27405</v>
      </c>
      <c r="H16" s="6" t="n">
        <v>1981414.56</v>
      </c>
    </row>
    <row r="17" customFormat="false" ht="15" hidden="false" customHeight="false" outlineLevel="0" collapsed="false">
      <c r="A17" s="9" t="s">
        <v>23</v>
      </c>
      <c r="B17" s="9" t="s">
        <v>13</v>
      </c>
      <c r="C17" s="6" t="n">
        <v>82444</v>
      </c>
      <c r="D17" s="6" t="n">
        <v>105232878.15274</v>
      </c>
      <c r="E17" s="6" t="n">
        <v>10420</v>
      </c>
      <c r="F17" s="6" t="n">
        <v>108844.399957931</v>
      </c>
      <c r="G17" s="6" t="n">
        <v>91370</v>
      </c>
      <c r="H17" s="6" t="n">
        <v>127646957.1</v>
      </c>
    </row>
    <row r="18" customFormat="false" ht="15" hidden="false" customHeight="false" outlineLevel="0" collapsed="false">
      <c r="A18" s="9" t="s">
        <v>23</v>
      </c>
      <c r="B18" s="9" t="s">
        <v>14</v>
      </c>
      <c r="C18" s="6" t="n">
        <v>77257</v>
      </c>
      <c r="D18" s="6" t="n">
        <v>92276306.1794569</v>
      </c>
      <c r="E18" s="6" t="n">
        <v>8315</v>
      </c>
      <c r="F18" s="6" t="n">
        <v>35.375</v>
      </c>
      <c r="G18" s="6" t="n">
        <v>93059</v>
      </c>
      <c r="H18" s="6" t="n">
        <v>120244813.82</v>
      </c>
    </row>
    <row r="19" customFormat="false" ht="15" hidden="false" customHeight="false" outlineLevel="0" collapsed="false">
      <c r="A19" s="9" t="s">
        <v>23</v>
      </c>
      <c r="B19" s="9" t="s">
        <v>15</v>
      </c>
      <c r="C19" s="6" t="n">
        <v>43506</v>
      </c>
      <c r="D19" s="6" t="n">
        <v>38380892.1217803</v>
      </c>
      <c r="E19" s="6" t="n">
        <v>13365</v>
      </c>
      <c r="F19" s="6" t="n">
        <v>9922.0494344656</v>
      </c>
      <c r="G19" s="6" t="n">
        <v>38436</v>
      </c>
      <c r="H19" s="6" t="n">
        <v>35751953.81</v>
      </c>
    </row>
    <row r="20" customFormat="false" ht="15" hidden="false" customHeight="false" outlineLevel="0" collapsed="false">
      <c r="A20" s="9" t="s">
        <v>23</v>
      </c>
      <c r="B20" s="9" t="s">
        <v>16</v>
      </c>
      <c r="C20" s="6" t="n">
        <v>56598</v>
      </c>
      <c r="D20" s="6" t="n">
        <v>12462940.1649167</v>
      </c>
      <c r="E20" s="6" t="n">
        <v>12232</v>
      </c>
      <c r="F20" s="6" t="n">
        <v>16814.0035714286</v>
      </c>
      <c r="G20" s="6" t="n">
        <v>65012</v>
      </c>
      <c r="H20" s="6" t="n">
        <v>13405258.95</v>
      </c>
    </row>
    <row r="21" customFormat="false" ht="15" hidden="false" customHeight="false" outlineLevel="0" collapsed="false">
      <c r="A21" s="9" t="s">
        <v>23</v>
      </c>
      <c r="B21" s="9" t="s">
        <v>17</v>
      </c>
      <c r="C21" s="6" t="n">
        <v>16618</v>
      </c>
      <c r="D21" s="6" t="n">
        <v>12984410.715471</v>
      </c>
      <c r="E21" s="6" t="n">
        <v>4762</v>
      </c>
      <c r="F21" s="6" t="n">
        <v>7651.75688367002</v>
      </c>
      <c r="G21" s="6" t="n">
        <v>17984</v>
      </c>
      <c r="H21" s="6" t="n">
        <v>15132902.3</v>
      </c>
    </row>
    <row r="22" customFormat="false" ht="15" hidden="false" customHeight="false" outlineLevel="0" collapsed="false">
      <c r="A22" s="9" t="s">
        <v>23</v>
      </c>
      <c r="B22" s="9" t="s">
        <v>18</v>
      </c>
      <c r="C22" s="6" t="n">
        <v>29302</v>
      </c>
      <c r="D22" s="6" t="n">
        <v>4093251.84971429</v>
      </c>
      <c r="E22" s="6" t="n">
        <v>16376</v>
      </c>
      <c r="F22" s="6" t="n">
        <v>13161.0261904762</v>
      </c>
      <c r="G22" s="6" t="n">
        <v>28302</v>
      </c>
      <c r="H22" s="6" t="n">
        <v>3743557.75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2026-10-24T18:33:12Z</dcterms:created>
  <dc:creator>openpyxl</dc:creator>
  <dc:description/>
  <dc:language>en-US</dc:language>
  <cp:lastModifiedBy/>
  <dcterms:modified xsi:type="dcterms:W3CDTF">2026-10-24T18:33:15Z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